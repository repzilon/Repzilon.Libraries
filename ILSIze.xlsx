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E:\Users\Administrator\source\repos\repzilon\Repzilon.Libraries\"/>
    </mc:Choice>
  </mc:AlternateContent>
  <xr:revisionPtr revIDLastSave="0" documentId="13_ncr:1_{68BA31DB-9DEC-4F54-BC1F-6F90BA2489A8}" xr6:coauthVersionLast="47" xr6:coauthVersionMax="47" xr10:uidLastSave="{00000000-0000-0000-0000-000000000000}"/>
  <bookViews>
    <workbookView xWindow="0" yWindow="7335" windowWidth="28800" windowHeight="10065" activeTab="3" xr2:uid="{E50D0282-9BF7-F541-B69F-D7AC36D41BED}"/>
  </bookViews>
  <sheets>
    <sheet name="Chemistry.cs" sheetId="1" r:id="rId1"/>
    <sheet name="EnzymeKinematic" sheetId="2" r:id="rId2"/>
    <sheet name="void OutputEnzymeKinematic" sheetId="3" r:id="rId3"/>
    <sheet name="LinearRegression.cs" sheetId="4" r:id="rId4"/>
    <sheet name="Student" sheetId="5" r:id="rId5"/>
    <sheet name="Matrix.cs" sheetId="6" r:id="rId6"/>
    <sheet name="ExtraMath_decimal.cs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5" i="4" l="1"/>
  <c r="Z15" i="4"/>
  <c r="AA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D15" i="4"/>
  <c r="E35" i="7" l="1"/>
  <c r="E34" i="7"/>
  <c r="C33" i="7"/>
  <c r="D33" i="7"/>
  <c r="E33" i="7"/>
  <c r="F33" i="7"/>
  <c r="G33" i="7"/>
  <c r="B33" i="7"/>
  <c r="C22" i="7"/>
  <c r="D22" i="7"/>
  <c r="E22" i="7"/>
  <c r="F22" i="7"/>
  <c r="G22" i="7"/>
  <c r="H22" i="7"/>
  <c r="I22" i="7"/>
  <c r="J22" i="7"/>
  <c r="B22" i="7"/>
  <c r="N7" i="6"/>
  <c r="N6" i="6"/>
  <c r="N5" i="6"/>
  <c r="O5" i="6"/>
  <c r="P5" i="6"/>
  <c r="K5" i="6"/>
  <c r="L5" i="6"/>
  <c r="M5" i="6"/>
  <c r="H5" i="6"/>
  <c r="I5" i="6"/>
  <c r="J5" i="6"/>
  <c r="E5" i="6"/>
  <c r="F5" i="6"/>
  <c r="G5" i="6"/>
  <c r="C5" i="6"/>
  <c r="D5" i="6"/>
  <c r="B5" i="6"/>
  <c r="E20" i="5"/>
  <c r="E19" i="5"/>
  <c r="C18" i="5"/>
  <c r="D18" i="5"/>
  <c r="E18" i="5"/>
  <c r="F18" i="5"/>
  <c r="G18" i="5"/>
  <c r="B18" i="5"/>
  <c r="F8" i="3"/>
  <c r="C9" i="3"/>
  <c r="D9" i="3"/>
  <c r="E9" i="3"/>
  <c r="F9" i="3"/>
  <c r="D8" i="3"/>
  <c r="E8" i="3"/>
  <c r="C8" i="3"/>
  <c r="C5" i="2"/>
  <c r="C4" i="2"/>
  <c r="C6" i="2"/>
  <c r="C3" i="2"/>
  <c r="E8" i="1"/>
  <c r="G12" i="1"/>
  <c r="F12" i="1"/>
  <c r="E12" i="1"/>
  <c r="E13" i="1" s="1"/>
  <c r="C12" i="1"/>
  <c r="D12" i="1"/>
  <c r="B12" i="1"/>
  <c r="P16" i="4" l="1"/>
  <c r="P17" i="4" s="1"/>
</calcChain>
</file>

<file path=xl/sharedStrings.xml><?xml version="1.0" encoding="utf-8"?>
<sst xmlns="http://schemas.openxmlformats.org/spreadsheetml/2006/main" count="198" uniqueCount="115">
  <si>
    <t>Méthode</t>
  </si>
  <si>
    <t>IL</t>
  </si>
  <si>
    <t>stack</t>
  </si>
  <si>
    <t>locals</t>
  </si>
  <si>
    <t>AminoAcidIsoelectric(r4,r4,u1,r4)</t>
  </si>
  <si>
    <t>AminoAcidIsoelectric(r4,r4)</t>
  </si>
  <si>
    <t>Itération 1</t>
  </si>
  <si>
    <t>CoreElementComposition</t>
  </si>
  <si>
    <t>CoreMolarMass</t>
  </si>
  <si>
    <t>ElementComposition</t>
  </si>
  <si>
    <t>InitElementMasses</t>
  </si>
  <si>
    <t>MatchChemicalGroups</t>
  </si>
  <si>
    <t>MolarMass</t>
  </si>
  <si>
    <t>RemoveChemicalGroups</t>
  </si>
  <si>
    <t>ToString()</t>
  </si>
  <si>
    <t>EnzymeKinematic</t>
  </si>
  <si>
    <t>ToString(,)</t>
  </si>
  <si>
    <t>LinearRegressionResult</t>
  </si>
  <si>
    <t>ChangeModel</t>
  </si>
  <si>
    <t>DecimalLinearRegressionResult</t>
  </si>
  <si>
    <t>EnzymeKinematicExtension</t>
  </si>
  <si>
    <t>*</t>
  </si>
  <si>
    <t>ESR, bool, PointD[]</t>
  </si>
  <si>
    <t>string</t>
  </si>
  <si>
    <t>ESR, bool, PointM[]</t>
  </si>
  <si>
    <t>Itération 2</t>
  </si>
  <si>
    <t>Structure/Module</t>
  </si>
  <si>
    <t>Delta</t>
  </si>
  <si>
    <t>№1</t>
  </si>
  <si>
    <t>№2</t>
  </si>
  <si>
    <t>Surcharge</t>
  </si>
  <si>
    <t>№3</t>
  </si>
  <si>
    <t>OutputEnzymeKinematic</t>
  </si>
  <si>
    <t>EK&lt;T&gt;</t>
  </si>
  <si>
    <t>OutputRoundedEnzymeKinematic</t>
  </si>
  <si>
    <t>EK&lt;double&gt;</t>
  </si>
  <si>
    <t>?</t>
  </si>
  <si>
    <t>№4</t>
  </si>
  <si>
    <t>EnzymeSpeedFloat</t>
  </si>
  <si>
    <t>Module</t>
  </si>
  <si>
    <t>RegressionModel</t>
  </si>
  <si>
    <t>Compute</t>
  </si>
  <si>
    <t>IEnumerable&lt;PointD&gt;</t>
  </si>
  <si>
    <t>IEnumerable&lt;PointM&gt;</t>
  </si>
  <si>
    <t>Itération 3</t>
  </si>
  <si>
    <t>LinearRegression</t>
  </si>
  <si>
    <t>Itération 4</t>
  </si>
  <si>
    <t>Itération 5</t>
  </si>
  <si>
    <t>Ancienne</t>
  </si>
  <si>
    <t>Nouvelle</t>
  </si>
  <si>
    <t>AddGammaFactors</t>
  </si>
  <si>
    <t>AddGammaIntegers</t>
  </si>
  <si>
    <t>AddGammaHalves</t>
  </si>
  <si>
    <t>BigProduct</t>
  </si>
  <si>
    <t>(Fast)GammaRatio</t>
  </si>
  <si>
    <t>HugeProduct</t>
  </si>
  <si>
    <t>MultiplyByFractions</t>
  </si>
  <si>
    <t>(Old)Student</t>
  </si>
  <si>
    <t>Product</t>
  </si>
  <si>
    <t>ProductOfIntegers</t>
  </si>
  <si>
    <t>Regroup</t>
  </si>
  <si>
    <t>RemoveDividableFactors</t>
  </si>
  <si>
    <t>RemoveIdenticalFactors</t>
  </si>
  <si>
    <t>SplitDividableBy</t>
  </si>
  <si>
    <t>TryMultiply</t>
  </si>
  <si>
    <t>Code</t>
  </si>
  <si>
    <t>Stack</t>
  </si>
  <si>
    <t>Locals</t>
  </si>
  <si>
    <t>Methods</t>
  </si>
  <si>
    <t>Iteration 1</t>
  </si>
  <si>
    <t>SolveDiagonally</t>
  </si>
  <si>
    <t>SolveLinkedLine</t>
  </si>
  <si>
    <t>Iteration 2</t>
  </si>
  <si>
    <t>Iteration 3</t>
  </si>
  <si>
    <t>Iteration 4</t>
  </si>
  <si>
    <t>Iteration 5</t>
  </si>
  <si>
    <t>Method</t>
  </si>
  <si>
    <t>Iteration 0</t>
  </si>
  <si>
    <t>Exp</t>
  </si>
  <si>
    <t>Pow(decimal, decimal)</t>
  </si>
  <si>
    <t>Pow(decimal, int)</t>
  </si>
  <si>
    <t>IsInteger</t>
  </si>
  <si>
    <t>Log</t>
  </si>
  <si>
    <t>Log10</t>
  </si>
  <si>
    <t>Cos</t>
  </si>
  <si>
    <t>Tan</t>
  </si>
  <si>
    <t>CalculateSinFromCos</t>
  </si>
  <si>
    <t>Sin</t>
  </si>
  <si>
    <t>TruncateToPeriodicInterval</t>
  </si>
  <si>
    <t>IsSignOfSinePositive</t>
  </si>
  <si>
    <t>Sinh</t>
  </si>
  <si>
    <t>Cosh</t>
  </si>
  <si>
    <t>Tanh</t>
  </si>
  <si>
    <t>Asin</t>
  </si>
  <si>
    <t>Atan</t>
  </si>
  <si>
    <t>Acos</t>
  </si>
  <si>
    <t>Atan2</t>
  </si>
  <si>
    <t>Sqrt</t>
  </si>
  <si>
    <t>ExpBySquaring</t>
  </si>
  <si>
    <t>GetDecimalPlaces</t>
  </si>
  <si>
    <t>Remainder</t>
  </si>
  <si>
    <t>Itération 6</t>
  </si>
  <si>
    <t>PointD[]</t>
  </si>
  <si>
    <t>I*List&lt;PointD&gt;</t>
  </si>
  <si>
    <t>Aggregate</t>
  </si>
  <si>
    <t>FinishCompute</t>
  </si>
  <si>
    <t>PointM[]</t>
  </si>
  <si>
    <t>I*List&lt;PointM&gt;</t>
  </si>
  <si>
    <t>📚</t>
  </si>
  <si>
    <t>📟</t>
  </si>
  <si>
    <t>Itération 7</t>
  </si>
  <si>
    <t>T is Decimal</t>
  </si>
  <si>
    <t>T is Double</t>
  </si>
  <si>
    <t>Itération 8</t>
  </si>
  <si>
    <t>Itération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</si>
</sst>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Franklin Gothic Book"/>
      <family val="2"/>
      <scheme val="minor"/>
    </font>
    <font>
      <b/>
      <sz val="12"/>
      <color theme="1"/>
      <name val="Franklin Gothic Book"/>
      <scheme val="minor"/>
    </font>
    <font>
      <sz val="12"/>
      <color theme="1"/>
      <name val="Franklin Gothic Book"/>
      <family val="2"/>
      <scheme val="minor"/>
    </font>
    <font>
      <sz val="8"/>
      <name val="Franklin Gothic Book"/>
      <family val="2"/>
      <scheme val="minor"/>
    </font>
    <font>
      <sz val="12"/>
      <color rgb="FF006100"/>
      <name val="Franklin Gothic Book"/>
      <family val="2"/>
      <scheme val="minor"/>
    </font>
    <font>
      <sz val="12"/>
      <color theme="1"/>
      <name val="Franklin Gothic Book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2" borderId="0" applyNumberFormat="0" applyBorder="0" applyAlignment="0" applyProtection="0"/>
  </cellStyleXfs>
  <cellXfs count="9">
    <xf numFmtId="0" fontId="0" fillId="0" borderId="0" xfId="0"/>
    <xf numFmtId="0" fontId="1" fillId="0" borderId="0" xfId="0" applyFont="1"/>
    <xf numFmtId="9" fontId="0" fillId="0" borderId="0" xfId="1" applyFont="1"/>
    <xf numFmtId="0" fontId="4" fillId="2" borderId="0" xfId="2"/>
    <xf numFmtId="0" fontId="5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3">
    <cellStyle name="Normal" xfId="0" builtinId="0"/>
    <cellStyle name="Pourcentage" xfId="1" builtinId="5"/>
    <cellStyle name="Satisfaisant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Franklin Gothic">
      <a:majorFont>
        <a:latin typeface="Franklin Gothic Medium" panose="020B0603020102020204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Franklin Gothic Book" panose="020B0503020102020204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85EFD-832C-3644-BF11-30C65FA80A90}">
  <dimension ref="A1:G13"/>
  <sheetViews>
    <sheetView zoomScale="130" zoomScaleNormal="130" workbookViewId="0">
      <selection activeCell="F9" sqref="F9"/>
    </sheetView>
  </sheetViews>
  <sheetFormatPr baseColWidth="10" defaultRowHeight="16.5" x14ac:dyDescent="0.3"/>
  <cols>
    <col min="1" max="1" width="28.77734375" customWidth="1"/>
    <col min="2" max="2" width="4.33203125" customWidth="1"/>
    <col min="3" max="3" width="5.6640625" customWidth="1"/>
    <col min="4" max="4" width="6.109375" customWidth="1"/>
    <col min="5" max="5" width="5" customWidth="1"/>
    <col min="6" max="6" width="5.6640625" customWidth="1"/>
    <col min="7" max="7" width="6.109375" customWidth="1"/>
  </cols>
  <sheetData>
    <row r="1" spans="1:7" x14ac:dyDescent="0.3">
      <c r="B1" s="5" t="s">
        <v>6</v>
      </c>
      <c r="C1" s="5"/>
      <c r="D1" s="5"/>
      <c r="E1" s="5" t="s">
        <v>25</v>
      </c>
      <c r="F1" s="5"/>
      <c r="G1" s="5"/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2</v>
      </c>
      <c r="G2" t="s">
        <v>3</v>
      </c>
    </row>
    <row r="3" spans="1:7" x14ac:dyDescent="0.3">
      <c r="A3" t="s">
        <v>4</v>
      </c>
      <c r="B3">
        <v>67</v>
      </c>
      <c r="C3">
        <v>3</v>
      </c>
      <c r="D3">
        <v>1</v>
      </c>
      <c r="E3">
        <v>67</v>
      </c>
      <c r="F3">
        <v>3</v>
      </c>
      <c r="G3">
        <v>1</v>
      </c>
    </row>
    <row r="4" spans="1:7" x14ac:dyDescent="0.3">
      <c r="A4" t="s">
        <v>5</v>
      </c>
      <c r="B4">
        <v>15</v>
      </c>
      <c r="C4">
        <v>8</v>
      </c>
      <c r="D4">
        <v>0</v>
      </c>
      <c r="E4">
        <v>15</v>
      </c>
      <c r="F4">
        <v>8</v>
      </c>
      <c r="G4">
        <v>0</v>
      </c>
    </row>
    <row r="5" spans="1:7" x14ac:dyDescent="0.3">
      <c r="A5" t="s">
        <v>7</v>
      </c>
      <c r="B5">
        <v>130</v>
      </c>
      <c r="C5">
        <v>5</v>
      </c>
      <c r="D5">
        <v>7</v>
      </c>
      <c r="E5">
        <v>111</v>
      </c>
      <c r="F5">
        <v>5</v>
      </c>
      <c r="G5">
        <v>7</v>
      </c>
    </row>
    <row r="6" spans="1:7" x14ac:dyDescent="0.3">
      <c r="A6" t="s">
        <v>8</v>
      </c>
      <c r="B6">
        <v>119</v>
      </c>
      <c r="C6">
        <v>4</v>
      </c>
      <c r="D6">
        <v>7</v>
      </c>
      <c r="E6">
        <v>115</v>
      </c>
      <c r="F6">
        <v>4</v>
      </c>
      <c r="G6">
        <v>7</v>
      </c>
    </row>
    <row r="7" spans="1:7" x14ac:dyDescent="0.3">
      <c r="A7" t="s">
        <v>9</v>
      </c>
      <c r="B7">
        <v>98</v>
      </c>
      <c r="C7">
        <v>4</v>
      </c>
      <c r="D7">
        <v>5</v>
      </c>
      <c r="E7">
        <v>98</v>
      </c>
      <c r="F7">
        <v>4</v>
      </c>
      <c r="G7">
        <v>5</v>
      </c>
    </row>
    <row r="8" spans="1:7" x14ac:dyDescent="0.3">
      <c r="A8" t="s">
        <v>10</v>
      </c>
      <c r="B8">
        <v>315</v>
      </c>
      <c r="C8">
        <v>4</v>
      </c>
      <c r="D8">
        <v>0</v>
      </c>
      <c r="E8">
        <f>229+76</f>
        <v>305</v>
      </c>
      <c r="F8">
        <v>4</v>
      </c>
      <c r="G8">
        <v>4</v>
      </c>
    </row>
    <row r="9" spans="1:7" x14ac:dyDescent="0.3">
      <c r="A9" t="s">
        <v>11</v>
      </c>
      <c r="B9">
        <v>42</v>
      </c>
      <c r="C9">
        <v>2</v>
      </c>
      <c r="D9">
        <v>1</v>
      </c>
      <c r="E9">
        <v>42</v>
      </c>
      <c r="F9">
        <v>2</v>
      </c>
      <c r="G9">
        <v>1</v>
      </c>
    </row>
    <row r="10" spans="1:7" x14ac:dyDescent="0.3">
      <c r="A10" t="s">
        <v>12</v>
      </c>
      <c r="B10">
        <v>129</v>
      </c>
      <c r="C10">
        <v>4</v>
      </c>
      <c r="D10">
        <v>5</v>
      </c>
      <c r="E10">
        <v>124</v>
      </c>
      <c r="F10">
        <v>4</v>
      </c>
      <c r="G10">
        <v>5</v>
      </c>
    </row>
    <row r="11" spans="1:7" x14ac:dyDescent="0.3">
      <c r="A11" t="s">
        <v>13</v>
      </c>
      <c r="B11">
        <v>60</v>
      </c>
      <c r="C11">
        <v>4</v>
      </c>
      <c r="D11">
        <v>3</v>
      </c>
      <c r="E11">
        <v>60</v>
      </c>
      <c r="F11">
        <v>4</v>
      </c>
      <c r="G11">
        <v>3</v>
      </c>
    </row>
    <row r="12" spans="1:7" x14ac:dyDescent="0.3">
      <c r="B12" s="1">
        <f t="shared" ref="B12:G12" si="0">SUM(B3:B11)</f>
        <v>975</v>
      </c>
      <c r="C12" s="1">
        <f t="shared" si="0"/>
        <v>38</v>
      </c>
      <c r="D12" s="1">
        <f t="shared" si="0"/>
        <v>29</v>
      </c>
      <c r="E12" s="1">
        <f t="shared" si="0"/>
        <v>937</v>
      </c>
      <c r="F12" s="1">
        <f t="shared" si="0"/>
        <v>38</v>
      </c>
      <c r="G12" s="1">
        <f t="shared" si="0"/>
        <v>33</v>
      </c>
    </row>
    <row r="13" spans="1:7" x14ac:dyDescent="0.3">
      <c r="E13">
        <f>E12-B12</f>
        <v>-38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70503-4F5B-E64E-832A-2C886DE2735D}">
  <dimension ref="A1:C6"/>
  <sheetViews>
    <sheetView zoomScale="130" zoomScaleNormal="130" workbookViewId="0">
      <selection activeCell="C1" sqref="C1"/>
    </sheetView>
  </sheetViews>
  <sheetFormatPr baseColWidth="10" defaultRowHeight="16.5" x14ac:dyDescent="0.3"/>
  <cols>
    <col min="1" max="1" width="28" customWidth="1"/>
    <col min="2" max="2" width="12.5546875" customWidth="1"/>
    <col min="3" max="3" width="5.77734375" customWidth="1"/>
  </cols>
  <sheetData>
    <row r="1" spans="1:3" x14ac:dyDescent="0.3">
      <c r="A1" t="s">
        <v>26</v>
      </c>
      <c r="B1" t="s">
        <v>0</v>
      </c>
      <c r="C1" t="s">
        <v>27</v>
      </c>
    </row>
    <row r="2" spans="1:3" x14ac:dyDescent="0.3">
      <c r="A2" t="s">
        <v>15</v>
      </c>
      <c r="B2" t="s">
        <v>14</v>
      </c>
      <c r="C2">
        <v>-14</v>
      </c>
    </row>
    <row r="3" spans="1:3" x14ac:dyDescent="0.3">
      <c r="A3" t="s">
        <v>15</v>
      </c>
      <c r="B3" t="s">
        <v>16</v>
      </c>
      <c r="C3">
        <f>(50+103)-207</f>
        <v>-54</v>
      </c>
    </row>
    <row r="4" spans="1:3" x14ac:dyDescent="0.3">
      <c r="A4" t="s">
        <v>20</v>
      </c>
      <c r="B4" t="s">
        <v>21</v>
      </c>
      <c r="C4">
        <f>6*-14</f>
        <v>-84</v>
      </c>
    </row>
    <row r="5" spans="1:3" x14ac:dyDescent="0.3">
      <c r="A5" t="s">
        <v>17</v>
      </c>
      <c r="B5" t="s">
        <v>18</v>
      </c>
      <c r="C5">
        <f>88-108</f>
        <v>-20</v>
      </c>
    </row>
    <row r="6" spans="1:3" x14ac:dyDescent="0.3">
      <c r="A6" t="s">
        <v>19</v>
      </c>
      <c r="B6" t="s">
        <v>18</v>
      </c>
      <c r="C6">
        <f>110-141</f>
        <v>-31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8D056-9034-D44D-B934-446C62FAF677}">
  <dimension ref="A1:F9"/>
  <sheetViews>
    <sheetView zoomScale="130" zoomScaleNormal="130" workbookViewId="0">
      <selection activeCell="F8" sqref="F8"/>
    </sheetView>
  </sheetViews>
  <sheetFormatPr baseColWidth="10" defaultRowHeight="16.5" x14ac:dyDescent="0.3"/>
  <cols>
    <col min="1" max="1" width="29.5546875" customWidth="1"/>
    <col min="2" max="2" width="16.109375" customWidth="1"/>
    <col min="3" max="4" width="4.33203125" customWidth="1"/>
    <col min="5" max="5" width="5.33203125" customWidth="1"/>
    <col min="6" max="6" width="4.33203125" customWidth="1"/>
  </cols>
  <sheetData>
    <row r="1" spans="1:6" x14ac:dyDescent="0.3">
      <c r="A1" t="s">
        <v>0</v>
      </c>
      <c r="B1" t="s">
        <v>30</v>
      </c>
      <c r="C1" t="s">
        <v>28</v>
      </c>
      <c r="D1" t="s">
        <v>29</v>
      </c>
      <c r="E1" t="s">
        <v>31</v>
      </c>
      <c r="F1" t="s">
        <v>37</v>
      </c>
    </row>
    <row r="2" spans="1:6" x14ac:dyDescent="0.3">
      <c r="A2" t="s">
        <v>32</v>
      </c>
      <c r="B2" t="s">
        <v>22</v>
      </c>
      <c r="C2">
        <v>58</v>
      </c>
      <c r="D2">
        <v>44</v>
      </c>
      <c r="E2">
        <v>44</v>
      </c>
      <c r="F2">
        <v>38</v>
      </c>
    </row>
    <row r="3" spans="1:6" x14ac:dyDescent="0.3">
      <c r="A3" t="s">
        <v>32</v>
      </c>
      <c r="B3" t="s">
        <v>24</v>
      </c>
      <c r="C3">
        <v>58</v>
      </c>
      <c r="D3">
        <v>44</v>
      </c>
      <c r="E3">
        <v>44</v>
      </c>
      <c r="F3">
        <v>44</v>
      </c>
    </row>
    <row r="4" spans="1:6" x14ac:dyDescent="0.3">
      <c r="A4" t="s">
        <v>32</v>
      </c>
      <c r="B4" t="s">
        <v>23</v>
      </c>
      <c r="C4">
        <v>47</v>
      </c>
      <c r="D4">
        <v>60</v>
      </c>
    </row>
    <row r="5" spans="1:6" x14ac:dyDescent="0.3">
      <c r="A5" t="s">
        <v>32</v>
      </c>
      <c r="B5" t="s">
        <v>33</v>
      </c>
      <c r="E5">
        <v>64</v>
      </c>
      <c r="F5">
        <v>64</v>
      </c>
    </row>
    <row r="6" spans="1:6" x14ac:dyDescent="0.3">
      <c r="A6" t="s">
        <v>34</v>
      </c>
      <c r="B6" t="s">
        <v>35</v>
      </c>
      <c r="F6">
        <v>13</v>
      </c>
    </row>
    <row r="7" spans="1:6" x14ac:dyDescent="0.3">
      <c r="A7" t="s">
        <v>38</v>
      </c>
      <c r="C7" t="s">
        <v>36</v>
      </c>
      <c r="D7" t="s">
        <v>36</v>
      </c>
      <c r="E7">
        <v>472</v>
      </c>
      <c r="F7">
        <v>460</v>
      </c>
    </row>
    <row r="8" spans="1:6" x14ac:dyDescent="0.3">
      <c r="C8" s="1">
        <f>SUM(C$2:C6)</f>
        <v>163</v>
      </c>
      <c r="D8" s="1">
        <f>SUM(D$2:D6)</f>
        <v>148</v>
      </c>
      <c r="E8" s="1">
        <f>SUM(E$2:E6)</f>
        <v>152</v>
      </c>
      <c r="F8" s="1">
        <f>SUM(F$2:F7)</f>
        <v>619</v>
      </c>
    </row>
    <row r="9" spans="1:6" x14ac:dyDescent="0.3">
      <c r="C9" s="1">
        <f>SUM(C$2:C7)</f>
        <v>163</v>
      </c>
      <c r="D9" s="1">
        <f>SUM(D$2:D7)</f>
        <v>148</v>
      </c>
      <c r="E9" s="1">
        <f>SUM(E$2:E7)</f>
        <v>624</v>
      </c>
      <c r="F9" s="1">
        <f>SUM(F$2:F7)</f>
        <v>619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DCA3-71A5-DD4D-9D0E-D63068092BC8}">
  <dimension ref="A1:AD17"/>
  <sheetViews>
    <sheetView tabSelected="1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N7" sqref="N7"/>
    </sheetView>
  </sheetViews>
  <sheetFormatPr baseColWidth="10" defaultRowHeight="16.5" x14ac:dyDescent="0.3"/>
  <cols>
    <col min="1" max="1" width="13.88671875" bestFit="1" customWidth="1"/>
    <col min="2" max="2" width="12.33203125" bestFit="1" customWidth="1"/>
    <col min="3" max="3" width="18" bestFit="1" customWidth="1"/>
    <col min="4" max="5" width="5.44140625" bestFit="1" customWidth="1"/>
    <col min="6" max="6" width="5.88671875" bestFit="1" customWidth="1"/>
    <col min="7" max="7" width="5.44140625" bestFit="1" customWidth="1"/>
    <col min="8" max="8" width="3.33203125" bestFit="1" customWidth="1"/>
    <col min="9" max="9" width="3.5546875" bestFit="1" customWidth="1"/>
    <col min="10" max="10" width="5.44140625" bestFit="1" customWidth="1"/>
    <col min="11" max="11" width="3.33203125" bestFit="1" customWidth="1"/>
    <col min="12" max="12" width="3.5546875" bestFit="1" customWidth="1"/>
    <col min="13" max="13" width="5.44140625" bestFit="1" customWidth="1"/>
    <col min="14" max="14" width="3.33203125" bestFit="1" customWidth="1"/>
    <col min="15" max="15" width="3.5546875" bestFit="1" customWidth="1"/>
    <col min="16" max="16" width="5.44140625" bestFit="1" customWidth="1"/>
    <col min="17" max="17" width="3.33203125" bestFit="1" customWidth="1"/>
    <col min="18" max="18" width="3.5546875" bestFit="1" customWidth="1"/>
    <col min="19" max="19" width="5.44140625" bestFit="1" customWidth="1"/>
    <col min="20" max="20" width="3.33203125" bestFit="1" customWidth="1"/>
    <col min="21" max="21" width="3.5546875" bestFit="1" customWidth="1"/>
    <col min="22" max="22" width="5.44140625" bestFit="1" customWidth="1"/>
    <col min="23" max="23" width="3.33203125" bestFit="1" customWidth="1"/>
    <col min="24" max="24" width="3.5546875" bestFit="1" customWidth="1"/>
    <col min="25" max="25" width="5.44140625" bestFit="1" customWidth="1"/>
    <col min="26" max="26" width="3.109375" customWidth="1"/>
    <col min="27" max="27" width="4.109375" customWidth="1"/>
    <col min="28" max="28" width="4" bestFit="1" customWidth="1"/>
    <col min="29" max="29" width="3.33203125" bestFit="1" customWidth="1"/>
    <col min="30" max="30" width="3.5546875" bestFit="1" customWidth="1"/>
  </cols>
  <sheetData>
    <row r="1" spans="1:30" s="1" customFormat="1" x14ac:dyDescent="0.3">
      <c r="D1" s="6" t="s">
        <v>6</v>
      </c>
      <c r="E1" s="6"/>
      <c r="F1" s="6"/>
      <c r="G1" s="6" t="s">
        <v>25</v>
      </c>
      <c r="H1" s="6"/>
      <c r="I1" s="6"/>
      <c r="J1" s="6" t="s">
        <v>44</v>
      </c>
      <c r="K1" s="6"/>
      <c r="L1" s="6"/>
      <c r="M1" s="6" t="s">
        <v>46</v>
      </c>
      <c r="N1" s="6"/>
      <c r="O1" s="6"/>
      <c r="P1" s="6" t="s">
        <v>47</v>
      </c>
      <c r="Q1" s="6"/>
      <c r="R1" s="6"/>
      <c r="S1" s="6" t="s">
        <v>101</v>
      </c>
      <c r="T1" s="6"/>
      <c r="U1" s="6"/>
      <c r="V1" s="6" t="s">
        <v>110</v>
      </c>
      <c r="W1" s="6"/>
      <c r="X1" s="6"/>
      <c r="Y1" s="6" t="s">
        <v>113</v>
      </c>
      <c r="Z1" s="6"/>
      <c r="AA1" s="6"/>
      <c r="AB1" s="6" t="s">
        <v>114</v>
      </c>
      <c r="AC1" s="6"/>
      <c r="AD1" s="6"/>
    </row>
    <row r="2" spans="1:30" s="1" customFormat="1" x14ac:dyDescent="0.3">
      <c r="A2" s="1" t="s">
        <v>39</v>
      </c>
      <c r="B2" s="1" t="s">
        <v>0</v>
      </c>
      <c r="C2" s="1" t="s">
        <v>30</v>
      </c>
      <c r="D2" s="1" t="s">
        <v>1</v>
      </c>
      <c r="E2" s="1" t="s">
        <v>2</v>
      </c>
      <c r="F2" s="1" t="s">
        <v>3</v>
      </c>
      <c r="G2" s="1" t="s">
        <v>1</v>
      </c>
      <c r="H2" s="1" t="s">
        <v>108</v>
      </c>
      <c r="I2" s="1" t="s">
        <v>109</v>
      </c>
      <c r="J2" s="1" t="s">
        <v>1</v>
      </c>
      <c r="K2" s="1" t="s">
        <v>108</v>
      </c>
      <c r="L2" s="1" t="s">
        <v>109</v>
      </c>
      <c r="M2" s="1" t="s">
        <v>1</v>
      </c>
      <c r="N2" s="1" t="s">
        <v>108</v>
      </c>
      <c r="O2" s="1" t="s">
        <v>109</v>
      </c>
      <c r="P2" s="1" t="s">
        <v>1</v>
      </c>
      <c r="Q2" s="1" t="s">
        <v>108</v>
      </c>
      <c r="R2" s="1" t="s">
        <v>109</v>
      </c>
      <c r="S2" s="1" t="s">
        <v>1</v>
      </c>
      <c r="T2" s="1" t="s">
        <v>108</v>
      </c>
      <c r="U2" s="1" t="s">
        <v>109</v>
      </c>
      <c r="V2" s="1" t="s">
        <v>1</v>
      </c>
      <c r="W2" s="1" t="s">
        <v>108</v>
      </c>
      <c r="X2" s="1" t="s">
        <v>109</v>
      </c>
      <c r="Y2" s="1" t="s">
        <v>1</v>
      </c>
      <c r="Z2" s="1" t="s">
        <v>108</v>
      </c>
      <c r="AA2" s="1" t="s">
        <v>109</v>
      </c>
      <c r="AB2" s="1" t="s">
        <v>1</v>
      </c>
      <c r="AC2" s="1" t="s">
        <v>108</v>
      </c>
      <c r="AD2" s="1" t="s">
        <v>109</v>
      </c>
    </row>
    <row r="3" spans="1:30" x14ac:dyDescent="0.3">
      <c r="A3" s="7" t="s">
        <v>40</v>
      </c>
      <c r="B3" s="8" t="s">
        <v>41</v>
      </c>
      <c r="C3" t="s">
        <v>42</v>
      </c>
      <c r="D3">
        <v>275</v>
      </c>
      <c r="E3">
        <v>5</v>
      </c>
      <c r="F3">
        <v>8</v>
      </c>
      <c r="G3">
        <v>262</v>
      </c>
      <c r="H3">
        <v>4</v>
      </c>
      <c r="I3">
        <v>9</v>
      </c>
      <c r="J3">
        <v>260</v>
      </c>
      <c r="K3">
        <v>4</v>
      </c>
      <c r="L3">
        <v>11</v>
      </c>
      <c r="M3">
        <v>241</v>
      </c>
      <c r="N3">
        <v>4</v>
      </c>
      <c r="O3">
        <v>10</v>
      </c>
      <c r="P3">
        <v>241</v>
      </c>
      <c r="Q3">
        <v>4</v>
      </c>
      <c r="R3">
        <v>10</v>
      </c>
      <c r="S3">
        <v>241</v>
      </c>
      <c r="T3">
        <v>4</v>
      </c>
      <c r="U3">
        <v>10</v>
      </c>
      <c r="V3">
        <v>241</v>
      </c>
      <c r="W3">
        <v>4</v>
      </c>
      <c r="X3">
        <v>10</v>
      </c>
      <c r="Y3">
        <v>241</v>
      </c>
      <c r="Z3">
        <v>4</v>
      </c>
      <c r="AA3">
        <v>10</v>
      </c>
      <c r="AB3">
        <v>241</v>
      </c>
      <c r="AC3">
        <v>4</v>
      </c>
      <c r="AD3">
        <v>10</v>
      </c>
    </row>
    <row r="4" spans="1:30" x14ac:dyDescent="0.3">
      <c r="A4" s="7"/>
      <c r="B4" s="8"/>
      <c r="C4" t="s">
        <v>43</v>
      </c>
      <c r="D4">
        <v>297</v>
      </c>
      <c r="E4">
        <v>5</v>
      </c>
      <c r="F4">
        <v>8</v>
      </c>
      <c r="G4">
        <v>287</v>
      </c>
      <c r="H4">
        <v>4</v>
      </c>
      <c r="I4">
        <v>9</v>
      </c>
      <c r="J4">
        <v>282</v>
      </c>
      <c r="K4">
        <v>4</v>
      </c>
      <c r="L4">
        <v>11</v>
      </c>
      <c r="M4">
        <v>263</v>
      </c>
      <c r="N4">
        <v>4</v>
      </c>
      <c r="O4">
        <v>10</v>
      </c>
      <c r="P4">
        <v>263</v>
      </c>
      <c r="Q4">
        <v>4</v>
      </c>
      <c r="R4">
        <v>10</v>
      </c>
      <c r="S4">
        <v>263</v>
      </c>
      <c r="T4">
        <v>4</v>
      </c>
      <c r="U4">
        <v>10</v>
      </c>
      <c r="V4">
        <v>263</v>
      </c>
      <c r="W4">
        <v>4</v>
      </c>
      <c r="X4">
        <v>10</v>
      </c>
      <c r="Y4">
        <v>263</v>
      </c>
      <c r="Z4">
        <v>4</v>
      </c>
      <c r="AA4">
        <v>10</v>
      </c>
      <c r="AB4">
        <v>263</v>
      </c>
      <c r="AC4">
        <v>4</v>
      </c>
      <c r="AD4">
        <v>10</v>
      </c>
    </row>
    <row r="5" spans="1:30" x14ac:dyDescent="0.3">
      <c r="A5" s="7" t="s">
        <v>45</v>
      </c>
      <c r="B5" s="8" t="s">
        <v>41</v>
      </c>
      <c r="C5" s="4" t="s">
        <v>102</v>
      </c>
      <c r="S5">
        <v>7</v>
      </c>
      <c r="T5">
        <v>8</v>
      </c>
      <c r="U5">
        <v>0</v>
      </c>
      <c r="V5">
        <v>7</v>
      </c>
      <c r="W5">
        <v>8</v>
      </c>
      <c r="X5">
        <v>0</v>
      </c>
      <c r="Y5">
        <v>7</v>
      </c>
      <c r="Z5">
        <v>8</v>
      </c>
      <c r="AA5">
        <v>0</v>
      </c>
      <c r="AB5">
        <v>7</v>
      </c>
      <c r="AC5">
        <v>8</v>
      </c>
      <c r="AD5">
        <v>0</v>
      </c>
    </row>
    <row r="6" spans="1:30" x14ac:dyDescent="0.3">
      <c r="A6" s="7"/>
      <c r="B6" s="8"/>
      <c r="C6" s="4" t="s">
        <v>103</v>
      </c>
      <c r="V6">
        <v>267</v>
      </c>
      <c r="W6">
        <v>10</v>
      </c>
      <c r="X6">
        <v>15</v>
      </c>
      <c r="Y6">
        <v>215</v>
      </c>
      <c r="Z6">
        <v>10</v>
      </c>
      <c r="AA6">
        <v>15</v>
      </c>
    </row>
    <row r="7" spans="1:30" x14ac:dyDescent="0.3">
      <c r="A7" s="7"/>
      <c r="B7" s="8"/>
      <c r="C7" t="s">
        <v>42</v>
      </c>
      <c r="D7">
        <v>493</v>
      </c>
      <c r="E7">
        <v>12</v>
      </c>
      <c r="F7">
        <v>19</v>
      </c>
      <c r="G7">
        <v>471</v>
      </c>
      <c r="H7">
        <v>12</v>
      </c>
      <c r="I7">
        <v>21</v>
      </c>
      <c r="J7">
        <v>461</v>
      </c>
      <c r="K7">
        <v>12</v>
      </c>
      <c r="L7">
        <v>19</v>
      </c>
      <c r="M7">
        <v>453</v>
      </c>
      <c r="N7">
        <v>12</v>
      </c>
      <c r="O7">
        <v>16</v>
      </c>
      <c r="P7">
        <v>447</v>
      </c>
      <c r="Q7">
        <v>12</v>
      </c>
      <c r="R7">
        <v>16</v>
      </c>
      <c r="S7">
        <v>447</v>
      </c>
      <c r="T7">
        <v>12</v>
      </c>
      <c r="U7">
        <v>16</v>
      </c>
      <c r="V7">
        <v>253</v>
      </c>
      <c r="W7">
        <v>10</v>
      </c>
      <c r="X7">
        <v>14</v>
      </c>
      <c r="Y7">
        <v>201</v>
      </c>
      <c r="Z7">
        <v>10</v>
      </c>
      <c r="AA7">
        <v>14</v>
      </c>
      <c r="AB7">
        <v>199</v>
      </c>
      <c r="AC7">
        <v>10</v>
      </c>
      <c r="AD7">
        <v>14</v>
      </c>
    </row>
    <row r="8" spans="1:30" x14ac:dyDescent="0.3">
      <c r="A8" s="7"/>
      <c r="B8" s="8"/>
      <c r="C8" s="4" t="s">
        <v>106</v>
      </c>
      <c r="S8">
        <v>7</v>
      </c>
      <c r="T8">
        <v>8</v>
      </c>
      <c r="U8">
        <v>0</v>
      </c>
      <c r="V8">
        <v>7</v>
      </c>
      <c r="W8">
        <v>8</v>
      </c>
      <c r="X8">
        <v>0</v>
      </c>
      <c r="Y8">
        <v>7</v>
      </c>
      <c r="Z8">
        <v>8</v>
      </c>
      <c r="AA8">
        <v>0</v>
      </c>
      <c r="AB8">
        <v>7</v>
      </c>
      <c r="AC8">
        <v>8</v>
      </c>
      <c r="AD8">
        <v>0</v>
      </c>
    </row>
    <row r="9" spans="1:30" x14ac:dyDescent="0.3">
      <c r="A9" s="7"/>
      <c r="B9" s="8"/>
      <c r="C9" s="4" t="s">
        <v>107</v>
      </c>
      <c r="V9">
        <v>257</v>
      </c>
      <c r="W9">
        <v>10</v>
      </c>
      <c r="X9">
        <v>15</v>
      </c>
      <c r="Y9">
        <v>220</v>
      </c>
      <c r="Z9">
        <v>10</v>
      </c>
      <c r="AA9">
        <v>15</v>
      </c>
    </row>
    <row r="10" spans="1:30" x14ac:dyDescent="0.3">
      <c r="A10" s="7"/>
      <c r="B10" s="8"/>
      <c r="C10" t="s">
        <v>43</v>
      </c>
      <c r="D10">
        <v>596</v>
      </c>
      <c r="E10">
        <v>12</v>
      </c>
      <c r="F10">
        <v>19</v>
      </c>
      <c r="G10">
        <v>568</v>
      </c>
      <c r="H10">
        <v>12</v>
      </c>
      <c r="I10">
        <v>21</v>
      </c>
      <c r="J10">
        <v>558</v>
      </c>
      <c r="K10">
        <v>12</v>
      </c>
      <c r="L10">
        <v>19</v>
      </c>
      <c r="M10">
        <v>550</v>
      </c>
      <c r="N10">
        <v>12</v>
      </c>
      <c r="O10">
        <v>16</v>
      </c>
      <c r="P10">
        <v>543</v>
      </c>
      <c r="Q10">
        <v>12</v>
      </c>
      <c r="R10">
        <v>16</v>
      </c>
      <c r="S10">
        <v>543</v>
      </c>
      <c r="T10">
        <v>12</v>
      </c>
      <c r="U10">
        <v>16</v>
      </c>
      <c r="V10">
        <v>253</v>
      </c>
      <c r="W10">
        <v>10</v>
      </c>
      <c r="X10">
        <v>14</v>
      </c>
      <c r="Y10">
        <v>215</v>
      </c>
      <c r="Z10">
        <v>10</v>
      </c>
      <c r="AA10">
        <v>14</v>
      </c>
    </row>
    <row r="11" spans="1:30" x14ac:dyDescent="0.3">
      <c r="A11" s="7"/>
      <c r="B11" t="s">
        <v>104</v>
      </c>
      <c r="C11" t="s">
        <v>112</v>
      </c>
      <c r="V11">
        <v>52</v>
      </c>
      <c r="W11">
        <v>4</v>
      </c>
      <c r="X11">
        <v>2</v>
      </c>
      <c r="Y11">
        <v>51</v>
      </c>
      <c r="Z11">
        <v>4</v>
      </c>
      <c r="AA11">
        <v>2</v>
      </c>
    </row>
    <row r="12" spans="1:30" x14ac:dyDescent="0.3">
      <c r="A12" s="7"/>
      <c r="B12" t="s">
        <v>104</v>
      </c>
      <c r="C12" t="s">
        <v>111</v>
      </c>
      <c r="V12">
        <v>120</v>
      </c>
      <c r="W12">
        <v>4</v>
      </c>
      <c r="X12">
        <v>2</v>
      </c>
      <c r="Y12">
        <v>119</v>
      </c>
      <c r="Z12">
        <v>4</v>
      </c>
      <c r="AA12">
        <v>2</v>
      </c>
    </row>
    <row r="13" spans="1:30" x14ac:dyDescent="0.3">
      <c r="A13" s="7"/>
      <c r="B13" t="s">
        <v>105</v>
      </c>
      <c r="C13" t="s">
        <v>112</v>
      </c>
      <c r="V13">
        <v>98</v>
      </c>
      <c r="W13">
        <v>12</v>
      </c>
      <c r="X13">
        <v>1</v>
      </c>
      <c r="Y13">
        <v>98</v>
      </c>
      <c r="Z13">
        <v>12</v>
      </c>
      <c r="AA13">
        <v>1</v>
      </c>
    </row>
    <row r="14" spans="1:30" x14ac:dyDescent="0.3">
      <c r="A14" s="7"/>
      <c r="B14" t="s">
        <v>105</v>
      </c>
      <c r="C14" t="s">
        <v>111</v>
      </c>
      <c r="V14">
        <v>147</v>
      </c>
      <c r="W14">
        <v>12</v>
      </c>
      <c r="X14">
        <v>1</v>
      </c>
      <c r="Y14">
        <v>147</v>
      </c>
      <c r="Z14">
        <v>12</v>
      </c>
      <c r="AA14">
        <v>1</v>
      </c>
    </row>
    <row r="15" spans="1:30" x14ac:dyDescent="0.3">
      <c r="D15" s="1">
        <f>SUM(D3:D14)</f>
        <v>1661</v>
      </c>
      <c r="E15" s="1">
        <f t="shared" ref="E15:X15" si="0">SUM(E3:E14)</f>
        <v>34</v>
      </c>
      <c r="F15" s="1">
        <f t="shared" si="0"/>
        <v>54</v>
      </c>
      <c r="G15" s="1">
        <f t="shared" si="0"/>
        <v>1588</v>
      </c>
      <c r="H15" s="1">
        <f t="shared" si="0"/>
        <v>32</v>
      </c>
      <c r="I15" s="1">
        <f t="shared" si="0"/>
        <v>60</v>
      </c>
      <c r="J15" s="1">
        <f t="shared" si="0"/>
        <v>1561</v>
      </c>
      <c r="K15" s="1">
        <f t="shared" si="0"/>
        <v>32</v>
      </c>
      <c r="L15" s="1">
        <f t="shared" si="0"/>
        <v>60</v>
      </c>
      <c r="M15" s="1">
        <f t="shared" si="0"/>
        <v>1507</v>
      </c>
      <c r="N15" s="1">
        <f t="shared" si="0"/>
        <v>32</v>
      </c>
      <c r="O15" s="1">
        <f t="shared" si="0"/>
        <v>52</v>
      </c>
      <c r="P15" s="1">
        <f t="shared" si="0"/>
        <v>1494</v>
      </c>
      <c r="Q15" s="1">
        <f t="shared" si="0"/>
        <v>32</v>
      </c>
      <c r="R15" s="1">
        <f t="shared" si="0"/>
        <v>52</v>
      </c>
      <c r="S15" s="1">
        <f t="shared" si="0"/>
        <v>1508</v>
      </c>
      <c r="T15" s="1">
        <f t="shared" si="0"/>
        <v>48</v>
      </c>
      <c r="U15" s="1">
        <f t="shared" si="0"/>
        <v>52</v>
      </c>
      <c r="V15" s="1">
        <f t="shared" si="0"/>
        <v>1965</v>
      </c>
      <c r="W15" s="1">
        <f t="shared" si="0"/>
        <v>96</v>
      </c>
      <c r="X15" s="1">
        <f t="shared" si="0"/>
        <v>84</v>
      </c>
      <c r="Y15" s="1">
        <f t="shared" ref="Y15" si="1">SUM(Y3:Y14)</f>
        <v>1784</v>
      </c>
      <c r="Z15" s="1">
        <f t="shared" ref="Z15" si="2">SUM(Z3:Z14)</f>
        <v>96</v>
      </c>
      <c r="AA15" s="1">
        <f t="shared" ref="AA15" si="3">SUM(AA3:AA14)</f>
        <v>84</v>
      </c>
    </row>
    <row r="16" spans="1:30" x14ac:dyDescent="0.3">
      <c r="P16">
        <f>P15-D15</f>
        <v>-167</v>
      </c>
    </row>
    <row r="17" spans="16:16" x14ac:dyDescent="0.3">
      <c r="P17" s="2">
        <f>P16/D15</f>
        <v>-0.10054184226369657</v>
      </c>
    </row>
  </sheetData>
  <mergeCells count="13">
    <mergeCell ref="AB1:AD1"/>
    <mergeCell ref="Y1:AA1"/>
    <mergeCell ref="A5:A14"/>
    <mergeCell ref="B5:B10"/>
    <mergeCell ref="V1:X1"/>
    <mergeCell ref="S1:U1"/>
    <mergeCell ref="A3:A4"/>
    <mergeCell ref="B3:B4"/>
    <mergeCell ref="D1:F1"/>
    <mergeCell ref="G1:I1"/>
    <mergeCell ref="J1:L1"/>
    <mergeCell ref="M1:O1"/>
    <mergeCell ref="P1:R1"/>
  </mergeCells>
  <phoneticPr fontId="3" type="noConversion"/>
  <pageMargins left="0.7" right="0.7" top="0.75" bottom="0.75" header="0.3" footer="0.3"/>
  <pageSetup paperSize="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57098-9EF4-7A43-8BB2-8228CE41206A}">
  <dimension ref="A1:G20"/>
  <sheetViews>
    <sheetView zoomScale="130" zoomScaleNormal="130" workbookViewId="0">
      <selection activeCell="G7" sqref="G7"/>
    </sheetView>
  </sheetViews>
  <sheetFormatPr baseColWidth="10" defaultRowHeight="16.5" x14ac:dyDescent="0.3"/>
  <cols>
    <col min="1" max="1" width="22.33203125" customWidth="1"/>
    <col min="2" max="2" width="5.33203125" customWidth="1"/>
    <col min="3" max="3" width="5.6640625" customWidth="1"/>
    <col min="4" max="4" width="6.109375" customWidth="1"/>
    <col min="5" max="5" width="5.5546875" customWidth="1"/>
    <col min="6" max="6" width="5.6640625" customWidth="1"/>
    <col min="7" max="7" width="6.109375" customWidth="1"/>
  </cols>
  <sheetData>
    <row r="1" spans="1:7" x14ac:dyDescent="0.3">
      <c r="B1" s="5" t="s">
        <v>48</v>
      </c>
      <c r="C1" s="5"/>
      <c r="D1" s="5"/>
      <c r="E1" s="5" t="s">
        <v>49</v>
      </c>
      <c r="F1" s="5"/>
      <c r="G1" s="5"/>
    </row>
    <row r="2" spans="1:7" x14ac:dyDescent="0.3">
      <c r="A2" t="s">
        <v>0</v>
      </c>
      <c r="B2" t="s">
        <v>1</v>
      </c>
      <c r="C2" t="s">
        <v>2</v>
      </c>
      <c r="D2" t="s">
        <v>3</v>
      </c>
      <c r="E2" t="s">
        <v>1</v>
      </c>
      <c r="F2" t="s">
        <v>2</v>
      </c>
      <c r="G2" t="s">
        <v>3</v>
      </c>
    </row>
    <row r="3" spans="1:7" x14ac:dyDescent="0.3">
      <c r="A3" t="s">
        <v>50</v>
      </c>
      <c r="E3">
        <v>20</v>
      </c>
      <c r="F3">
        <v>2</v>
      </c>
      <c r="G3">
        <v>1</v>
      </c>
    </row>
    <row r="4" spans="1:7" x14ac:dyDescent="0.3">
      <c r="A4" t="s">
        <v>52</v>
      </c>
      <c r="B4">
        <v>127</v>
      </c>
      <c r="C4">
        <v>4</v>
      </c>
      <c r="D4">
        <v>4</v>
      </c>
    </row>
    <row r="5" spans="1:7" x14ac:dyDescent="0.3">
      <c r="A5" t="s">
        <v>51</v>
      </c>
      <c r="B5">
        <v>29</v>
      </c>
      <c r="C5">
        <v>3</v>
      </c>
      <c r="D5">
        <v>1</v>
      </c>
    </row>
    <row r="6" spans="1:7" x14ac:dyDescent="0.3">
      <c r="A6" t="s">
        <v>53</v>
      </c>
      <c r="B6">
        <v>153</v>
      </c>
      <c r="C6">
        <v>6</v>
      </c>
      <c r="D6">
        <v>4</v>
      </c>
    </row>
    <row r="7" spans="1:7" x14ac:dyDescent="0.3">
      <c r="A7" t="s">
        <v>54</v>
      </c>
      <c r="B7">
        <v>459</v>
      </c>
      <c r="C7">
        <v>7</v>
      </c>
      <c r="D7">
        <v>6</v>
      </c>
      <c r="E7">
        <v>314</v>
      </c>
      <c r="F7">
        <v>5</v>
      </c>
      <c r="G7">
        <v>6</v>
      </c>
    </row>
    <row r="8" spans="1:7" x14ac:dyDescent="0.3">
      <c r="A8" t="s">
        <v>55</v>
      </c>
      <c r="B8">
        <v>284</v>
      </c>
      <c r="C8">
        <v>6</v>
      </c>
      <c r="D8">
        <v>6</v>
      </c>
    </row>
    <row r="9" spans="1:7" x14ac:dyDescent="0.3">
      <c r="A9" t="s">
        <v>56</v>
      </c>
      <c r="E9">
        <v>45</v>
      </c>
      <c r="F9">
        <v>4</v>
      </c>
      <c r="G9">
        <v>1</v>
      </c>
    </row>
    <row r="10" spans="1:7" x14ac:dyDescent="0.3">
      <c r="A10" t="s">
        <v>57</v>
      </c>
      <c r="B10">
        <v>162</v>
      </c>
      <c r="C10">
        <v>5</v>
      </c>
      <c r="D10">
        <v>0</v>
      </c>
      <c r="E10">
        <v>162</v>
      </c>
      <c r="F10">
        <v>5</v>
      </c>
      <c r="G10">
        <v>0</v>
      </c>
    </row>
    <row r="11" spans="1:7" x14ac:dyDescent="0.3">
      <c r="A11" t="s">
        <v>58</v>
      </c>
      <c r="B11">
        <v>140</v>
      </c>
      <c r="C11">
        <v>3</v>
      </c>
      <c r="D11">
        <v>4</v>
      </c>
      <c r="E11">
        <v>36</v>
      </c>
      <c r="F11">
        <v>3</v>
      </c>
      <c r="G11">
        <v>3</v>
      </c>
    </row>
    <row r="12" spans="1:7" x14ac:dyDescent="0.3">
      <c r="A12" t="s">
        <v>59</v>
      </c>
      <c r="B12">
        <v>44</v>
      </c>
      <c r="C12">
        <v>2</v>
      </c>
      <c r="D12">
        <v>4</v>
      </c>
    </row>
    <row r="13" spans="1:7" x14ac:dyDescent="0.3">
      <c r="A13" t="s">
        <v>60</v>
      </c>
      <c r="E13">
        <v>64</v>
      </c>
      <c r="F13">
        <v>4</v>
      </c>
      <c r="G13">
        <v>2</v>
      </c>
    </row>
    <row r="14" spans="1:7" x14ac:dyDescent="0.3">
      <c r="A14" t="s">
        <v>61</v>
      </c>
      <c r="B14">
        <v>24</v>
      </c>
      <c r="C14">
        <v>8</v>
      </c>
      <c r="D14">
        <v>0</v>
      </c>
      <c r="E14">
        <v>22</v>
      </c>
      <c r="F14">
        <v>8</v>
      </c>
      <c r="G14">
        <v>0</v>
      </c>
    </row>
    <row r="15" spans="1:7" x14ac:dyDescent="0.3">
      <c r="A15" t="s">
        <v>62</v>
      </c>
      <c r="B15">
        <v>85</v>
      </c>
      <c r="C15">
        <v>3</v>
      </c>
      <c r="D15">
        <v>3</v>
      </c>
      <c r="E15">
        <v>85</v>
      </c>
      <c r="F15">
        <v>3</v>
      </c>
      <c r="G15">
        <v>3</v>
      </c>
    </row>
    <row r="16" spans="1:7" x14ac:dyDescent="0.3">
      <c r="A16" t="s">
        <v>63</v>
      </c>
      <c r="B16">
        <v>81</v>
      </c>
      <c r="C16">
        <v>4</v>
      </c>
      <c r="D16">
        <v>4</v>
      </c>
      <c r="E16">
        <v>54</v>
      </c>
      <c r="F16">
        <v>4</v>
      </c>
      <c r="G16">
        <v>3</v>
      </c>
    </row>
    <row r="17" spans="1:7" x14ac:dyDescent="0.3">
      <c r="A17" t="s">
        <v>64</v>
      </c>
      <c r="E17">
        <v>34</v>
      </c>
      <c r="F17">
        <v>8</v>
      </c>
      <c r="G17">
        <v>0</v>
      </c>
    </row>
    <row r="18" spans="1:7" x14ac:dyDescent="0.3">
      <c r="B18" s="1">
        <f>SUM(B3:B17)</f>
        <v>1588</v>
      </c>
      <c r="C18" s="1">
        <f t="shared" ref="C18:G18" si="0">SUM(C3:C17)</f>
        <v>51</v>
      </c>
      <c r="D18" s="1">
        <f t="shared" si="0"/>
        <v>36</v>
      </c>
      <c r="E18" s="1">
        <f t="shared" si="0"/>
        <v>836</v>
      </c>
      <c r="F18" s="1">
        <f t="shared" si="0"/>
        <v>46</v>
      </c>
      <c r="G18" s="1">
        <f t="shared" si="0"/>
        <v>19</v>
      </c>
    </row>
    <row r="19" spans="1:7" x14ac:dyDescent="0.3">
      <c r="E19">
        <f>E18-B18</f>
        <v>-752</v>
      </c>
    </row>
    <row r="20" spans="1:7" x14ac:dyDescent="0.3">
      <c r="E20" s="2">
        <f>E19/B18</f>
        <v>-0.47355163727959698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6A6D4-E7A1-DE4F-AF79-3C1286851385}">
  <dimension ref="A1:P7"/>
  <sheetViews>
    <sheetView zoomScale="130" zoomScaleNormal="130" workbookViewId="0">
      <selection activeCell="Q14" sqref="Q14"/>
    </sheetView>
  </sheetViews>
  <sheetFormatPr baseColWidth="10" defaultRowHeight="16.5" x14ac:dyDescent="0.3"/>
  <cols>
    <col min="1" max="1" width="15.6640625" customWidth="1"/>
    <col min="2" max="2" width="5.6640625" customWidth="1"/>
    <col min="3" max="3" width="5.77734375" customWidth="1"/>
    <col min="4" max="4" width="6.5546875" customWidth="1"/>
    <col min="5" max="5" width="5.6640625" customWidth="1"/>
    <col min="6" max="6" width="5.77734375" customWidth="1"/>
    <col min="7" max="7" width="6.5546875" customWidth="1"/>
    <col min="8" max="8" width="5.6640625" customWidth="1"/>
    <col min="9" max="9" width="5.77734375" customWidth="1"/>
    <col min="10" max="10" width="6.5546875" customWidth="1"/>
    <col min="11" max="11" width="5.6640625" customWidth="1"/>
    <col min="12" max="12" width="5.77734375" customWidth="1"/>
    <col min="13" max="13" width="6.5546875" customWidth="1"/>
    <col min="14" max="14" width="5.6640625" customWidth="1"/>
    <col min="15" max="15" width="5.77734375" customWidth="1"/>
    <col min="16" max="16" width="6.5546875" customWidth="1"/>
  </cols>
  <sheetData>
    <row r="1" spans="1:16" x14ac:dyDescent="0.3">
      <c r="B1" s="5" t="s">
        <v>69</v>
      </c>
      <c r="C1" s="5"/>
      <c r="D1" s="5"/>
      <c r="E1" s="5" t="s">
        <v>72</v>
      </c>
      <c r="F1" s="5"/>
      <c r="G1" s="5"/>
      <c r="H1" s="5" t="s">
        <v>73</v>
      </c>
      <c r="I1" s="5"/>
      <c r="J1" s="5"/>
      <c r="K1" s="5" t="s">
        <v>74</v>
      </c>
      <c r="L1" s="5"/>
      <c r="M1" s="5"/>
      <c r="N1" s="5" t="s">
        <v>75</v>
      </c>
      <c r="O1" s="5"/>
      <c r="P1" s="5"/>
    </row>
    <row r="2" spans="1:16" x14ac:dyDescent="0.3">
      <c r="A2" t="s">
        <v>68</v>
      </c>
      <c r="B2" t="s">
        <v>65</v>
      </c>
      <c r="C2" t="s">
        <v>66</v>
      </c>
      <c r="D2" t="s">
        <v>67</v>
      </c>
      <c r="E2" t="s">
        <v>65</v>
      </c>
      <c r="F2" t="s">
        <v>66</v>
      </c>
      <c r="G2" t="s">
        <v>67</v>
      </c>
      <c r="H2" t="s">
        <v>65</v>
      </c>
      <c r="I2" t="s">
        <v>66</v>
      </c>
      <c r="J2" t="s">
        <v>67</v>
      </c>
      <c r="K2" t="s">
        <v>65</v>
      </c>
      <c r="L2" t="s">
        <v>66</v>
      </c>
      <c r="M2" t="s">
        <v>67</v>
      </c>
      <c r="N2" t="s">
        <v>65</v>
      </c>
      <c r="O2" t="s">
        <v>66</v>
      </c>
      <c r="P2" t="s">
        <v>67</v>
      </c>
    </row>
    <row r="3" spans="1:16" x14ac:dyDescent="0.3">
      <c r="A3" t="s">
        <v>70</v>
      </c>
      <c r="B3">
        <v>700</v>
      </c>
      <c r="C3">
        <v>7</v>
      </c>
      <c r="D3">
        <v>16</v>
      </c>
      <c r="E3">
        <v>675</v>
      </c>
      <c r="F3">
        <v>7</v>
      </c>
      <c r="G3">
        <v>13</v>
      </c>
      <c r="H3">
        <v>665</v>
      </c>
      <c r="I3">
        <v>7</v>
      </c>
      <c r="J3">
        <v>11</v>
      </c>
      <c r="K3">
        <v>628</v>
      </c>
      <c r="L3">
        <v>7</v>
      </c>
      <c r="M3">
        <v>10</v>
      </c>
      <c r="N3">
        <v>620</v>
      </c>
      <c r="O3">
        <v>7</v>
      </c>
      <c r="P3">
        <v>11</v>
      </c>
    </row>
    <row r="4" spans="1:16" x14ac:dyDescent="0.3">
      <c r="A4" t="s">
        <v>71</v>
      </c>
      <c r="B4">
        <v>291</v>
      </c>
      <c r="C4">
        <v>4</v>
      </c>
      <c r="D4">
        <v>10</v>
      </c>
      <c r="E4">
        <v>288</v>
      </c>
      <c r="F4">
        <v>4</v>
      </c>
      <c r="G4">
        <v>9</v>
      </c>
      <c r="H4">
        <v>252</v>
      </c>
      <c r="I4">
        <v>4</v>
      </c>
      <c r="J4">
        <v>7</v>
      </c>
      <c r="K4">
        <v>244</v>
      </c>
      <c r="L4">
        <v>4</v>
      </c>
      <c r="M4">
        <v>7</v>
      </c>
      <c r="N4">
        <v>244</v>
      </c>
      <c r="O4">
        <v>4</v>
      </c>
      <c r="P4">
        <v>7</v>
      </c>
    </row>
    <row r="5" spans="1:16" x14ac:dyDescent="0.3">
      <c r="B5" s="1">
        <f t="shared" ref="B5:G5" si="0">SUM(B3:B4)</f>
        <v>991</v>
      </c>
      <c r="C5" s="1">
        <f t="shared" si="0"/>
        <v>11</v>
      </c>
      <c r="D5" s="1">
        <f t="shared" si="0"/>
        <v>26</v>
      </c>
      <c r="E5" s="1">
        <f t="shared" si="0"/>
        <v>963</v>
      </c>
      <c r="F5" s="1">
        <f t="shared" si="0"/>
        <v>11</v>
      </c>
      <c r="G5" s="1">
        <f t="shared" si="0"/>
        <v>22</v>
      </c>
      <c r="H5" s="1">
        <f t="shared" ref="H5:J5" si="1">SUM(H3:H4)</f>
        <v>917</v>
      </c>
      <c r="I5" s="1">
        <f t="shared" si="1"/>
        <v>11</v>
      </c>
      <c r="J5" s="1">
        <f t="shared" si="1"/>
        <v>18</v>
      </c>
      <c r="K5" s="1">
        <f t="shared" ref="K5" si="2">SUM(K3:K4)</f>
        <v>872</v>
      </c>
      <c r="L5" s="1">
        <f t="shared" ref="L5" si="3">SUM(L3:L4)</f>
        <v>11</v>
      </c>
      <c r="M5" s="1">
        <f t="shared" ref="M5" si="4">SUM(M3:M4)</f>
        <v>17</v>
      </c>
      <c r="N5" s="1">
        <f t="shared" ref="N5" si="5">SUM(N3:N4)</f>
        <v>864</v>
      </c>
      <c r="O5" s="1">
        <f t="shared" ref="O5" si="6">SUM(O3:O4)</f>
        <v>11</v>
      </c>
      <c r="P5" s="1">
        <f t="shared" ref="P5" si="7">SUM(P3:P4)</f>
        <v>18</v>
      </c>
    </row>
    <row r="6" spans="1:16" x14ac:dyDescent="0.3">
      <c r="N6">
        <f>N5-B5</f>
        <v>-127</v>
      </c>
    </row>
    <row r="7" spans="1:16" x14ac:dyDescent="0.3">
      <c r="N7" s="2">
        <f>N6/B5</f>
        <v>-0.12815338042381433</v>
      </c>
    </row>
  </sheetData>
  <mergeCells count="5"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3A2D3-B79F-994A-8E5F-6CAF0A113206}">
  <dimension ref="A1:J35"/>
  <sheetViews>
    <sheetView zoomScale="130" zoomScaleNormal="130" workbookViewId="0">
      <selection sqref="A1:D2"/>
    </sheetView>
  </sheetViews>
  <sheetFormatPr baseColWidth="10" defaultRowHeight="16.5" x14ac:dyDescent="0.3"/>
  <cols>
    <col min="1" max="1" width="23.6640625" customWidth="1"/>
    <col min="2" max="2" width="5.6640625" customWidth="1"/>
    <col min="3" max="3" width="6" customWidth="1"/>
    <col min="4" max="4" width="6.77734375" customWidth="1"/>
    <col min="5" max="5" width="5.6640625" customWidth="1"/>
    <col min="6" max="6" width="6" customWidth="1"/>
    <col min="7" max="7" width="6.77734375" customWidth="1"/>
    <col min="8" max="8" width="5.6640625" customWidth="1"/>
    <col min="9" max="9" width="6" customWidth="1"/>
    <col min="10" max="10" width="6.77734375" customWidth="1"/>
  </cols>
  <sheetData>
    <row r="1" spans="1:10" x14ac:dyDescent="0.3">
      <c r="A1" s="1"/>
      <c r="B1" s="6" t="s">
        <v>77</v>
      </c>
      <c r="C1" s="6"/>
      <c r="D1" s="6"/>
      <c r="E1" s="6" t="s">
        <v>69</v>
      </c>
      <c r="F1" s="6"/>
      <c r="G1" s="6"/>
      <c r="H1" s="6" t="s">
        <v>72</v>
      </c>
      <c r="I1" s="6"/>
      <c r="J1" s="6"/>
    </row>
    <row r="2" spans="1:10" x14ac:dyDescent="0.3">
      <c r="A2" s="1" t="s">
        <v>76</v>
      </c>
      <c r="B2" s="1" t="s">
        <v>65</v>
      </c>
      <c r="C2" s="1" t="s">
        <v>66</v>
      </c>
      <c r="D2" s="1" t="s">
        <v>67</v>
      </c>
      <c r="E2" s="1" t="s">
        <v>65</v>
      </c>
      <c r="F2" s="1" t="s">
        <v>66</v>
      </c>
      <c r="G2" s="1" t="s">
        <v>67</v>
      </c>
      <c r="H2" s="1" t="s">
        <v>65</v>
      </c>
      <c r="I2" s="1" t="s">
        <v>66</v>
      </c>
      <c r="J2" s="1" t="s">
        <v>67</v>
      </c>
    </row>
    <row r="3" spans="1:10" x14ac:dyDescent="0.3">
      <c r="A3" t="s">
        <v>78</v>
      </c>
      <c r="B3">
        <v>199</v>
      </c>
      <c r="C3">
        <v>6</v>
      </c>
      <c r="D3">
        <v>5</v>
      </c>
      <c r="E3">
        <v>188</v>
      </c>
      <c r="F3">
        <v>6</v>
      </c>
      <c r="G3">
        <v>6</v>
      </c>
      <c r="H3">
        <v>188</v>
      </c>
      <c r="I3">
        <v>6</v>
      </c>
      <c r="J3">
        <v>6</v>
      </c>
    </row>
    <row r="4" spans="1:10" x14ac:dyDescent="0.3">
      <c r="A4" t="s">
        <v>79</v>
      </c>
      <c r="B4">
        <v>292</v>
      </c>
      <c r="C4" t="s">
        <v>36</v>
      </c>
      <c r="D4">
        <v>2</v>
      </c>
      <c r="E4">
        <v>243</v>
      </c>
      <c r="F4">
        <v>3</v>
      </c>
      <c r="G4">
        <v>3</v>
      </c>
      <c r="H4">
        <v>265</v>
      </c>
      <c r="I4">
        <v>3</v>
      </c>
      <c r="J4">
        <v>3</v>
      </c>
    </row>
    <row r="5" spans="1:10" x14ac:dyDescent="0.3">
      <c r="A5" t="s">
        <v>81</v>
      </c>
      <c r="B5">
        <v>31</v>
      </c>
      <c r="C5">
        <v>2</v>
      </c>
      <c r="D5">
        <v>1</v>
      </c>
      <c r="E5">
        <v>29</v>
      </c>
      <c r="F5">
        <v>8</v>
      </c>
      <c r="G5">
        <v>0</v>
      </c>
      <c r="H5">
        <v>0</v>
      </c>
      <c r="I5">
        <v>0</v>
      </c>
      <c r="J5">
        <v>0</v>
      </c>
    </row>
    <row r="6" spans="1:10" x14ac:dyDescent="0.3">
      <c r="A6" t="s">
        <v>80</v>
      </c>
      <c r="B6">
        <v>109</v>
      </c>
      <c r="C6">
        <v>2</v>
      </c>
      <c r="D6">
        <v>3</v>
      </c>
      <c r="E6">
        <v>103</v>
      </c>
      <c r="F6">
        <v>2</v>
      </c>
      <c r="G6">
        <v>4</v>
      </c>
      <c r="H6">
        <v>103</v>
      </c>
      <c r="I6">
        <v>2</v>
      </c>
      <c r="J6">
        <v>4</v>
      </c>
    </row>
    <row r="7" spans="1:10" x14ac:dyDescent="0.3">
      <c r="A7" t="s">
        <v>83</v>
      </c>
      <c r="B7">
        <v>35</v>
      </c>
      <c r="C7">
        <v>8</v>
      </c>
      <c r="D7">
        <v>0</v>
      </c>
      <c r="E7">
        <v>35</v>
      </c>
      <c r="F7">
        <v>8</v>
      </c>
      <c r="G7">
        <v>0</v>
      </c>
      <c r="H7">
        <v>35</v>
      </c>
      <c r="I7">
        <v>8</v>
      </c>
      <c r="J7">
        <v>0</v>
      </c>
    </row>
    <row r="8" spans="1:10" x14ac:dyDescent="0.3">
      <c r="A8" t="s">
        <v>82</v>
      </c>
      <c r="B8">
        <v>270</v>
      </c>
      <c r="C8">
        <v>6</v>
      </c>
      <c r="D8">
        <v>5</v>
      </c>
      <c r="E8">
        <v>257</v>
      </c>
      <c r="F8">
        <v>6</v>
      </c>
      <c r="G8">
        <v>8</v>
      </c>
      <c r="H8">
        <v>257</v>
      </c>
      <c r="I8">
        <v>6</v>
      </c>
      <c r="J8">
        <v>8</v>
      </c>
    </row>
    <row r="9" spans="1:10" x14ac:dyDescent="0.3">
      <c r="A9" t="s">
        <v>84</v>
      </c>
      <c r="B9">
        <v>350</v>
      </c>
      <c r="C9">
        <v>6</v>
      </c>
      <c r="D9">
        <v>5</v>
      </c>
      <c r="E9">
        <v>308</v>
      </c>
      <c r="F9">
        <v>6</v>
      </c>
      <c r="G9">
        <v>6</v>
      </c>
      <c r="H9">
        <v>308</v>
      </c>
      <c r="I9">
        <v>6</v>
      </c>
      <c r="J9">
        <v>6</v>
      </c>
    </row>
    <row r="10" spans="1:10" x14ac:dyDescent="0.3">
      <c r="A10" t="s">
        <v>85</v>
      </c>
      <c r="B10">
        <v>45</v>
      </c>
      <c r="C10">
        <v>2</v>
      </c>
      <c r="D10">
        <v>1</v>
      </c>
      <c r="E10">
        <v>56</v>
      </c>
      <c r="F10">
        <v>3</v>
      </c>
      <c r="G10">
        <v>1</v>
      </c>
      <c r="H10">
        <v>56</v>
      </c>
      <c r="I10">
        <v>3</v>
      </c>
      <c r="J10">
        <v>1</v>
      </c>
    </row>
    <row r="11" spans="1:10" x14ac:dyDescent="0.3">
      <c r="A11" t="s">
        <v>86</v>
      </c>
      <c r="B11">
        <v>40</v>
      </c>
      <c r="C11">
        <v>3</v>
      </c>
      <c r="D11">
        <v>1</v>
      </c>
      <c r="E11">
        <v>40</v>
      </c>
      <c r="F11">
        <v>3</v>
      </c>
      <c r="G11">
        <v>1</v>
      </c>
      <c r="H11">
        <v>145</v>
      </c>
      <c r="I11">
        <v>6</v>
      </c>
      <c r="J11">
        <v>0</v>
      </c>
    </row>
    <row r="12" spans="1:10" x14ac:dyDescent="0.3">
      <c r="A12" t="s">
        <v>87</v>
      </c>
      <c r="B12">
        <v>15</v>
      </c>
      <c r="C12">
        <v>2</v>
      </c>
      <c r="D12">
        <v>1</v>
      </c>
      <c r="E12">
        <v>13</v>
      </c>
      <c r="F12">
        <v>8</v>
      </c>
      <c r="G12">
        <v>0</v>
      </c>
      <c r="H12">
        <v>13</v>
      </c>
      <c r="I12">
        <v>8</v>
      </c>
      <c r="J12">
        <v>0</v>
      </c>
    </row>
    <row r="13" spans="1:10" x14ac:dyDescent="0.3">
      <c r="A13" t="s">
        <v>88</v>
      </c>
      <c r="B13">
        <v>275</v>
      </c>
      <c r="C13">
        <v>8</v>
      </c>
      <c r="D13">
        <v>2</v>
      </c>
      <c r="E13">
        <v>184</v>
      </c>
      <c r="F13">
        <v>6</v>
      </c>
      <c r="G13">
        <v>2</v>
      </c>
      <c r="H13">
        <v>184</v>
      </c>
      <c r="I13">
        <v>6</v>
      </c>
      <c r="J13">
        <v>2</v>
      </c>
    </row>
    <row r="14" spans="1:10" x14ac:dyDescent="0.3">
      <c r="A14" t="s">
        <v>89</v>
      </c>
      <c r="B14">
        <v>238</v>
      </c>
      <c r="C14">
        <v>6</v>
      </c>
      <c r="D14">
        <v>0</v>
      </c>
      <c r="E14">
        <v>116</v>
      </c>
      <c r="F14">
        <v>6</v>
      </c>
      <c r="G14">
        <v>0</v>
      </c>
      <c r="H14">
        <v>0</v>
      </c>
      <c r="I14">
        <v>0</v>
      </c>
      <c r="J14">
        <v>0</v>
      </c>
    </row>
    <row r="15" spans="1:10" x14ac:dyDescent="0.3">
      <c r="A15" s="3" t="s">
        <v>90</v>
      </c>
      <c r="B15">
        <v>42</v>
      </c>
      <c r="C15">
        <v>6</v>
      </c>
      <c r="D15">
        <v>2</v>
      </c>
      <c r="E15">
        <v>40</v>
      </c>
      <c r="F15">
        <v>6</v>
      </c>
      <c r="G15">
        <v>1</v>
      </c>
      <c r="H15">
        <v>40</v>
      </c>
      <c r="I15">
        <v>6</v>
      </c>
      <c r="J15">
        <v>1</v>
      </c>
    </row>
    <row r="16" spans="1:10" x14ac:dyDescent="0.3">
      <c r="A16" s="3" t="s">
        <v>91</v>
      </c>
      <c r="B16">
        <v>42</v>
      </c>
      <c r="C16">
        <v>6</v>
      </c>
      <c r="D16">
        <v>2</v>
      </c>
      <c r="E16">
        <v>40</v>
      </c>
      <c r="F16">
        <v>6</v>
      </c>
      <c r="G16">
        <v>1</v>
      </c>
      <c r="H16">
        <v>40</v>
      </c>
      <c r="I16">
        <v>6</v>
      </c>
      <c r="J16">
        <v>1</v>
      </c>
    </row>
    <row r="17" spans="1:10" x14ac:dyDescent="0.3">
      <c r="A17" s="3" t="s">
        <v>92</v>
      </c>
      <c r="B17">
        <v>39</v>
      </c>
      <c r="C17">
        <v>3</v>
      </c>
      <c r="D17">
        <v>2</v>
      </c>
      <c r="E17">
        <v>39</v>
      </c>
      <c r="F17">
        <v>3</v>
      </c>
      <c r="G17">
        <v>2</v>
      </c>
      <c r="H17">
        <v>39</v>
      </c>
      <c r="I17">
        <v>3</v>
      </c>
      <c r="J17">
        <v>2</v>
      </c>
    </row>
    <row r="18" spans="1:10" x14ac:dyDescent="0.3">
      <c r="A18" t="s">
        <v>93</v>
      </c>
      <c r="B18">
        <v>344</v>
      </c>
      <c r="C18">
        <v>8</v>
      </c>
      <c r="D18">
        <v>7</v>
      </c>
      <c r="E18">
        <v>314</v>
      </c>
      <c r="F18">
        <v>6</v>
      </c>
      <c r="G18">
        <v>10</v>
      </c>
      <c r="H18">
        <v>314</v>
      </c>
      <c r="I18">
        <v>6</v>
      </c>
      <c r="J18">
        <v>10</v>
      </c>
    </row>
    <row r="19" spans="1:10" x14ac:dyDescent="0.3">
      <c r="A19" t="s">
        <v>94</v>
      </c>
      <c r="B19">
        <v>90</v>
      </c>
      <c r="C19">
        <v>5</v>
      </c>
      <c r="D19">
        <v>0</v>
      </c>
      <c r="E19">
        <v>88</v>
      </c>
      <c r="F19">
        <v>5</v>
      </c>
      <c r="G19">
        <v>2</v>
      </c>
      <c r="H19">
        <v>88</v>
      </c>
      <c r="I19">
        <v>5</v>
      </c>
      <c r="J19">
        <v>2</v>
      </c>
    </row>
    <row r="20" spans="1:10" x14ac:dyDescent="0.3">
      <c r="A20" t="s">
        <v>95</v>
      </c>
      <c r="B20">
        <v>144</v>
      </c>
      <c r="C20">
        <v>5</v>
      </c>
      <c r="D20">
        <v>0</v>
      </c>
      <c r="E20">
        <v>123</v>
      </c>
      <c r="F20">
        <v>6</v>
      </c>
      <c r="G20">
        <v>3</v>
      </c>
      <c r="H20">
        <v>123</v>
      </c>
      <c r="I20">
        <v>6</v>
      </c>
      <c r="J20">
        <v>3</v>
      </c>
    </row>
    <row r="21" spans="1:10" x14ac:dyDescent="0.3">
      <c r="A21" t="s">
        <v>96</v>
      </c>
      <c r="B21">
        <v>271</v>
      </c>
      <c r="C21">
        <v>6</v>
      </c>
      <c r="D21">
        <v>0</v>
      </c>
      <c r="E21">
        <v>170</v>
      </c>
      <c r="F21">
        <v>6</v>
      </c>
      <c r="G21">
        <v>2</v>
      </c>
      <c r="H21">
        <v>170</v>
      </c>
      <c r="I21">
        <v>6</v>
      </c>
      <c r="J21">
        <v>2</v>
      </c>
    </row>
    <row r="22" spans="1:10" x14ac:dyDescent="0.3">
      <c r="B22" s="1">
        <f>SUM(B3:B21)</f>
        <v>2871</v>
      </c>
      <c r="C22" s="1">
        <f t="shared" ref="C22:J22" si="0">SUM(C3:C21)</f>
        <v>90</v>
      </c>
      <c r="D22" s="1">
        <f t="shared" si="0"/>
        <v>39</v>
      </c>
      <c r="E22" s="1">
        <f t="shared" si="0"/>
        <v>2386</v>
      </c>
      <c r="F22" s="1">
        <f t="shared" si="0"/>
        <v>103</v>
      </c>
      <c r="G22" s="1">
        <f t="shared" si="0"/>
        <v>52</v>
      </c>
      <c r="H22" s="1">
        <f t="shared" si="0"/>
        <v>2368</v>
      </c>
      <c r="I22" s="1">
        <f t="shared" si="0"/>
        <v>92</v>
      </c>
      <c r="J22" s="1">
        <f t="shared" si="0"/>
        <v>51</v>
      </c>
    </row>
    <row r="24" spans="1:10" x14ac:dyDescent="0.3">
      <c r="A24" s="3" t="s">
        <v>94</v>
      </c>
      <c r="B24">
        <v>347</v>
      </c>
      <c r="C24">
        <v>5</v>
      </c>
      <c r="D24">
        <v>4</v>
      </c>
      <c r="E24">
        <v>323</v>
      </c>
      <c r="F24">
        <v>5</v>
      </c>
      <c r="G24">
        <v>6</v>
      </c>
    </row>
    <row r="25" spans="1:10" x14ac:dyDescent="0.3">
      <c r="A25" s="3" t="s">
        <v>96</v>
      </c>
      <c r="B25">
        <v>263</v>
      </c>
      <c r="C25">
        <v>6</v>
      </c>
      <c r="D25">
        <v>1</v>
      </c>
      <c r="E25">
        <v>194</v>
      </c>
      <c r="F25">
        <v>6</v>
      </c>
      <c r="G25">
        <v>3</v>
      </c>
    </row>
    <row r="26" spans="1:10" x14ac:dyDescent="0.3">
      <c r="A26" s="3" t="s">
        <v>84</v>
      </c>
      <c r="B26">
        <v>285</v>
      </c>
      <c r="C26">
        <v>6</v>
      </c>
      <c r="D26">
        <v>4</v>
      </c>
      <c r="E26">
        <v>254</v>
      </c>
      <c r="F26">
        <v>6</v>
      </c>
      <c r="G26">
        <v>6</v>
      </c>
    </row>
    <row r="27" spans="1:10" x14ac:dyDescent="0.3">
      <c r="A27" t="s">
        <v>78</v>
      </c>
      <c r="B27">
        <v>285</v>
      </c>
      <c r="C27">
        <v>6</v>
      </c>
      <c r="D27">
        <v>5</v>
      </c>
      <c r="E27">
        <v>244</v>
      </c>
      <c r="F27">
        <v>6</v>
      </c>
      <c r="G27">
        <v>8</v>
      </c>
    </row>
    <row r="28" spans="1:10" x14ac:dyDescent="0.3">
      <c r="A28" s="3" t="s">
        <v>87</v>
      </c>
      <c r="B28">
        <v>281</v>
      </c>
      <c r="C28">
        <v>6</v>
      </c>
      <c r="D28">
        <v>4</v>
      </c>
      <c r="E28">
        <v>250</v>
      </c>
      <c r="F28">
        <v>6</v>
      </c>
      <c r="G28">
        <v>6</v>
      </c>
    </row>
    <row r="29" spans="1:10" x14ac:dyDescent="0.3">
      <c r="A29" s="3" t="s">
        <v>97</v>
      </c>
      <c r="B29">
        <v>160</v>
      </c>
      <c r="C29">
        <v>6</v>
      </c>
      <c r="D29">
        <v>4</v>
      </c>
      <c r="E29">
        <v>160</v>
      </c>
      <c r="F29">
        <v>6</v>
      </c>
      <c r="G29">
        <v>4</v>
      </c>
    </row>
    <row r="30" spans="1:10" x14ac:dyDescent="0.3">
      <c r="A30" t="s">
        <v>98</v>
      </c>
      <c r="B30">
        <v>176</v>
      </c>
      <c r="C30">
        <v>3</v>
      </c>
      <c r="D30">
        <v>2</v>
      </c>
      <c r="E30">
        <v>77</v>
      </c>
      <c r="F30">
        <v>3</v>
      </c>
      <c r="G30">
        <v>2</v>
      </c>
    </row>
    <row r="31" spans="1:10" x14ac:dyDescent="0.3">
      <c r="A31" t="s">
        <v>99</v>
      </c>
      <c r="B31">
        <v>99</v>
      </c>
      <c r="C31">
        <v>4</v>
      </c>
      <c r="D31">
        <v>3</v>
      </c>
      <c r="E31">
        <v>99</v>
      </c>
      <c r="F31">
        <v>4</v>
      </c>
      <c r="G31">
        <v>3</v>
      </c>
    </row>
    <row r="32" spans="1:10" x14ac:dyDescent="0.3">
      <c r="A32" t="s">
        <v>100</v>
      </c>
      <c r="B32">
        <v>186</v>
      </c>
      <c r="C32">
        <v>5</v>
      </c>
      <c r="D32">
        <v>5</v>
      </c>
      <c r="E32">
        <v>189</v>
      </c>
      <c r="F32">
        <v>5</v>
      </c>
      <c r="G32">
        <v>6</v>
      </c>
    </row>
    <row r="33" spans="2:7" x14ac:dyDescent="0.3">
      <c r="B33" s="1">
        <f>SUM(B24:B32)</f>
        <v>2082</v>
      </c>
      <c r="C33">
        <f t="shared" ref="C33:G33" si="1">SUM(C24:C32)</f>
        <v>47</v>
      </c>
      <c r="D33">
        <f t="shared" si="1"/>
        <v>32</v>
      </c>
      <c r="E33" s="1">
        <f t="shared" si="1"/>
        <v>1790</v>
      </c>
      <c r="F33">
        <f t="shared" si="1"/>
        <v>47</v>
      </c>
      <c r="G33">
        <f t="shared" si="1"/>
        <v>44</v>
      </c>
    </row>
    <row r="34" spans="2:7" x14ac:dyDescent="0.3">
      <c r="E34">
        <f>E33-B33</f>
        <v>-292</v>
      </c>
    </row>
    <row r="35" spans="2:7" x14ac:dyDescent="0.3">
      <c r="E35" s="2">
        <f>E34/B33</f>
        <v>-0.14024975984630164</v>
      </c>
    </row>
  </sheetData>
  <mergeCells count="3">
    <mergeCell ref="B1:D1"/>
    <mergeCell ref="E1:G1"/>
    <mergeCell ref="H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Chemistry.cs</vt:lpstr>
      <vt:lpstr>EnzymeKinematic</vt:lpstr>
      <vt:lpstr>void OutputEnzymeKinematic</vt:lpstr>
      <vt:lpstr>LinearRegression.cs</vt:lpstr>
      <vt:lpstr>Student</vt:lpstr>
      <vt:lpstr>Matrix.cs</vt:lpstr>
      <vt:lpstr>ExtraMath_decimal.cs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Sylvain-Rhéaume</dc:creator>
  <cp:lastModifiedBy>René Sylvain-Rhéaume</cp:lastModifiedBy>
  <dcterms:created xsi:type="dcterms:W3CDTF">2024-07-03T12:03:39Z</dcterms:created>
  <dcterms:modified xsi:type="dcterms:W3CDTF">2025-05-07T10:45:53Z</dcterms:modified>
</cp:coreProperties>
</file>
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2625EDCF-AC70-BC48-99D1-CD90CBADC23B}" xr6:coauthVersionLast="47" xr6:coauthVersionMax="47" xr10:uidLastSave="{00000000-0000-0000-0000-000000000000}"/>
  <bookViews>
    <workbookView xWindow="25600" yWindow="-7500" windowWidth="38400" windowHeight="23500" activeTab="3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4" l="1"/>
  <c r="AC20" i="4"/>
  <c r="AD20" i="4"/>
  <c r="Y20" i="4"/>
  <c r="Z20" i="4"/>
  <c r="AA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D20" i="4"/>
  <c r="E35" i="7" l="1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  <c r="P21" i="4" l="1"/>
  <c r="P22" i="4" s="1"/>
</calcChain>
</file>

<file path=xl/sharedStrings.xml><?xml version="1.0" encoding="utf-8"?>
<sst xmlns="http://schemas.openxmlformats.org/spreadsheetml/2006/main" count="203" uniqueCount="119">
  <si>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</si>
  <si>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</si>
  <si>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</si>
  <si>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</si>
  <si>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</si>
  <si>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</si>
  <si>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</si>
  <si>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</si>
  <si>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</si>
  <si>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</si>
  <si>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</si>
  <si>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</si>
  <si>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</si>
  <si>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</si>
  <si>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</si>
  <si>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</si>
  <si>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</si>
  <si>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</si>
  <si>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</si>
  <si>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</si>
  <si>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</si>
  <si>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</si>
  <si>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</si>
  <si>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</si>
  <si>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</si>
  <si>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</si>
  <si>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</si>
  <si>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</si>
  <si>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</si>
  <si>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</si>
  <si>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</si>
  <si>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</si>
  <si>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</si>
  <si>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</si>
  <si>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</si>
  <si>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</si>
  <si>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</si>
  <si>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</si>
  <si>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</si>
  <si>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</si>
  <si>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</si>
  <si>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</si>
  <si>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</si>
  <si>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</si>
  <si>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</si>
  <si>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</si>
  <si>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</si>
  <si>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</si>
  <si>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</si>
  <si>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</si>
  <si>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</si>
  <si>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</si>
  <si>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</si>
  <si>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</si>
  <si>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</si>
  <si>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</si>
  <si>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</si>
  <si>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</si>
  <si>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</si>
  <si>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</si>
  <si>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</si>
  <si>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</si>
  <si>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</si>
  <si>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</si>
  <si>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</si>
  <si>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</si>
  <si>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</si>
  <si>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</si>
  <si>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</si>
  <si>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</si>
  <si>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</si>
  <si>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</si>
  <si>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</si>
  <si>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</si>
  <si>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</si>
  <si>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</si>
  <si>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</si>
  <si>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</si>
  <si>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</si>
  <si>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</si>
  <si>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</si>
  <si>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</si>
  <si>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</si>
  <si>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</si>
  <si>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</si>
  <si>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</si>
  <si>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</si>
  <si>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</si>
  <si>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</si>
  <si>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</si>
  <si>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</si>
  <si>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</si>
  <si>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</si>
  <si>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</si>
  <si>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</si>
  <si>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</si>
  <si>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</si>
  <si>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</si>
  <si>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</si>
  <si>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</si>
  <si>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</si>
  <si>
    <t>Itération 6</t>
  </si>
  <si>
    <t>I*List&lt;PointD&gt;</t>
  </si>
  <si>
    <t>Aggregate</t>
  </si>
  <si>
    <t>FinishCompute</t>
  </si>
  <si>
    <t>I*List&lt;PointM&gt;</t>
  </si>
  <si>
    <t>📚</t>
  </si>
  <si>
    <t>📟</t>
  </si>
  <si>
    <t>Itération 7</t>
  </si>
  <si>
    <t>T is Decimal</t>
  </si>
  <si>
    <t>T is Double</t>
  </si>
  <si>
    <t>Itération 8</t>
  </si>
  <si>
    <t>Itération 9</t>
  </si>
  <si>
    <t>IList&lt;PointD&gt;</t>
  </si>
  <si>
    <t>IList&lt;PointM&gt;</t>
  </si>
  <si>
    <t>InitLists&lt;T&gt;</t>
  </si>
  <si>
    <t>AddDataPoint</t>
  </si>
  <si>
    <t>PointD</t>
  </si>
  <si>
    <t>PointM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</si>
</sst>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Franklin Gothic Book"/>
      <family val="2"/>
      <scheme val="minor"/>
    </font>
    <font>
      <b/>
      <sz val="12"/>
      <color theme="1"/>
      <name val="Franklin Gothic Book"/>
      <scheme val="minor"/>
    </font>
    <font>
      <sz val="12"/>
      <color theme="1"/>
      <name val="Franklin Gothic Book"/>
      <family val="2"/>
      <scheme val="minor"/>
    </font>
    <font>
      <sz val="8"/>
      <name val="Franklin Gothic Book"/>
      <family val="2"/>
      <scheme val="minor"/>
    </font>
    <font>
      <sz val="12"/>
      <color rgb="FF006100"/>
      <name val="Franklin Gothic Book"/>
      <family val="2"/>
      <scheme val="minor"/>
    </font>
    <font>
      <sz val="12"/>
      <color theme="1"/>
      <name val="Franklin Gothic Book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10">
    <xf numFmtId="0" fontId="0" fillId="0" borderId="0" xfId="0"/>
    <xf numFmtId="0" fontId="1" fillId="0" borderId="0" xfId="0" applyFont="1"/>
    <xf numFmtId="9" fontId="0" fillId="0" borderId="0" xfId="1" applyFont="1"/>
    <xf numFmtId="0" fontId="4" fillId="2" borderId="0" xfId="2"/>
    <xf numFmtId="0" fontId="5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F9" sqref="F9"/>
    </sheetView>
  </sheetViews>
  <sheetFormatPr baseColWidth="10" defaultRowHeight="16" x14ac:dyDescent="0.2"/>
  <cols>
    <col min="1" max="1" width="28.7109375" customWidth="1"/>
    <col min="2" max="2" width="4.28515625" customWidth="1"/>
    <col min="3" max="3" width="5.7109375" customWidth="1"/>
    <col min="4" max="4" width="6.140625" customWidth="1"/>
    <col min="5" max="5" width="5" customWidth="1"/>
    <col min="6" max="6" width="5.7109375" customWidth="1"/>
    <col min="7" max="7" width="6.140625" customWidth="1"/>
  </cols>
  <sheetData>
    <row r="1" spans="1:7" x14ac:dyDescent="0.2">
      <c r="B1" s="5" t="s">
        <v>6</v>
      </c>
      <c r="C1" s="5"/>
      <c r="D1" s="5"/>
      <c r="E1" s="5" t="s">
        <v>25</v>
      </c>
      <c r="F1" s="5"/>
      <c r="G1" s="5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 x14ac:dyDescent="0.2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 x14ac:dyDescent="0.2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 x14ac:dyDescent="0.2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 x14ac:dyDescent="0.2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 x14ac:dyDescent="0.2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 x14ac:dyDescent="0.2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 x14ac:dyDescent="0.2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 x14ac:dyDescent="0.2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 x14ac:dyDescent="0.2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 x14ac:dyDescent="0.2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activeCell="C1" sqref="C1"/>
    </sheetView>
  </sheetViews>
  <sheetFormatPr baseColWidth="10" defaultRowHeight="16" x14ac:dyDescent="0.2"/>
  <cols>
    <col min="1" max="1" width="28" customWidth="1"/>
    <col min="2" max="2" width="12.5703125" customWidth="1"/>
    <col min="3" max="3" width="5.7109375" customWidth="1"/>
  </cols>
  <sheetData>
    <row r="1" spans="1:3" x14ac:dyDescent="0.2">
      <c r="A1" t="s">
        <v>26</v>
      </c>
      <c r="B1" t="s">
        <v>0</v>
      </c>
      <c r="C1" t="s">
        <v>27</v>
      </c>
    </row>
    <row r="2" spans="1:3" x14ac:dyDescent="0.2">
      <c r="A2" t="s">
        <v>15</v>
      </c>
      <c r="B2" t="s">
        <v>14</v>
      </c>
      <c r="C2">
        <v>-14</v>
      </c>
    </row>
    <row r="3" spans="1:3" x14ac:dyDescent="0.2">
      <c r="A3" t="s">
        <v>15</v>
      </c>
      <c r="B3" t="s">
        <v>16</v>
      </c>
      <c r="C3">
        <f>(50+103)-207</f>
        <v>-54</v>
      </c>
    </row>
    <row r="4" spans="1:3" x14ac:dyDescent="0.2">
      <c r="A4" t="s">
        <v>20</v>
      </c>
      <c r="B4" t="s">
        <v>21</v>
      </c>
      <c r="C4">
        <f>6*-14</f>
        <v>-84</v>
      </c>
    </row>
    <row r="5" spans="1:3" x14ac:dyDescent="0.2">
      <c r="A5" t="s">
        <v>17</v>
      </c>
      <c r="B5" t="s">
        <v>18</v>
      </c>
      <c r="C5">
        <f>88-108</f>
        <v>-20</v>
      </c>
    </row>
    <row r="6" spans="1:3" x14ac:dyDescent="0.2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F8" sqref="F8"/>
    </sheetView>
  </sheetViews>
  <sheetFormatPr baseColWidth="10" defaultRowHeight="16" x14ac:dyDescent="0.2"/>
  <cols>
    <col min="1" max="1" width="29.5703125" customWidth="1"/>
    <col min="2" max="2" width="16.140625" customWidth="1"/>
    <col min="3" max="4" width="4.28515625" customWidth="1"/>
    <col min="5" max="5" width="5.28515625" customWidth="1"/>
    <col min="6" max="6" width="4.28515625" customWidth="1"/>
  </cols>
  <sheetData>
    <row r="1" spans="1:6" x14ac:dyDescent="0.2">
      <c r="A1" t="s">
        <v>0</v>
      </c>
      <c r="B1" t="s">
        <v>30</v>
      </c>
      <c r="C1" t="s">
        <v>28</v>
      </c>
      <c r="D1" t="s">
        <v>29</v>
      </c>
      <c r="E1" t="s">
        <v>31</v>
      </c>
      <c r="F1" t="s">
        <v>37</v>
      </c>
    </row>
    <row r="2" spans="1:6" x14ac:dyDescent="0.2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 x14ac:dyDescent="0.2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 x14ac:dyDescent="0.2">
      <c r="A4" t="s">
        <v>32</v>
      </c>
      <c r="B4" t="s">
        <v>23</v>
      </c>
      <c r="C4">
        <v>47</v>
      </c>
      <c r="D4">
        <v>60</v>
      </c>
    </row>
    <row r="5" spans="1:6" x14ac:dyDescent="0.2">
      <c r="A5" t="s">
        <v>32</v>
      </c>
      <c r="B5" t="s">
        <v>33</v>
      </c>
      <c r="E5">
        <v>64</v>
      </c>
      <c r="F5">
        <v>64</v>
      </c>
    </row>
    <row r="6" spans="1:6" x14ac:dyDescent="0.2">
      <c r="A6" t="s">
        <v>34</v>
      </c>
      <c r="B6" t="s">
        <v>35</v>
      </c>
      <c r="F6">
        <v>13</v>
      </c>
    </row>
    <row r="7" spans="1:6" x14ac:dyDescent="0.2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 x14ac:dyDescent="0.2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 x14ac:dyDescent="0.2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AD22"/>
  <sheetViews>
    <sheetView tabSelected="1" zoomScale="130" zoomScaleNormal="13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12" sqref="F12"/>
    </sheetView>
  </sheetViews>
  <sheetFormatPr baseColWidth="10" defaultRowHeight="16" x14ac:dyDescent="0.2"/>
  <cols>
    <col min="1" max="1" width="13.7109375" bestFit="1" customWidth="1"/>
    <col min="2" max="2" width="12.28515625" bestFit="1" customWidth="1"/>
    <col min="3" max="3" width="17.85546875" bestFit="1" customWidth="1"/>
    <col min="4" max="5" width="5" bestFit="1" customWidth="1"/>
    <col min="6" max="6" width="5.28515625" bestFit="1" customWidth="1"/>
    <col min="7" max="7" width="5" bestFit="1" customWidth="1"/>
    <col min="8" max="9" width="3.28515625" bestFit="1" customWidth="1"/>
    <col min="10" max="10" width="5" bestFit="1" customWidth="1"/>
    <col min="11" max="12" width="3.28515625" bestFit="1" customWidth="1"/>
    <col min="13" max="13" width="5" bestFit="1" customWidth="1"/>
    <col min="14" max="15" width="3.28515625" bestFit="1" customWidth="1"/>
    <col min="16" max="16" width="5" bestFit="1" customWidth="1"/>
    <col min="17" max="18" width="3.28515625" bestFit="1" customWidth="1"/>
    <col min="19" max="19" width="5" bestFit="1" customWidth="1"/>
    <col min="20" max="21" width="3.28515625" bestFit="1" customWidth="1"/>
    <col min="22" max="22" width="5" bestFit="1" customWidth="1"/>
    <col min="23" max="24" width="3.28515625" bestFit="1" customWidth="1"/>
    <col min="25" max="25" width="5" bestFit="1" customWidth="1"/>
    <col min="26" max="27" width="3.28515625" bestFit="1" customWidth="1"/>
    <col min="28" max="28" width="5" bestFit="1" customWidth="1"/>
    <col min="29" max="29" width="4" bestFit="1" customWidth="1"/>
    <col min="30" max="30" width="3.28515625" bestFit="1" customWidth="1"/>
  </cols>
  <sheetData>
    <row r="1" spans="1:30" s="1" customFormat="1" x14ac:dyDescent="0.2">
      <c r="D1" s="6" t="s">
        <v>6</v>
      </c>
      <c r="E1" s="6"/>
      <c r="F1" s="6"/>
      <c r="G1" s="6" t="s">
        <v>25</v>
      </c>
      <c r="H1" s="6"/>
      <c r="I1" s="6"/>
      <c r="J1" s="6" t="s">
        <v>44</v>
      </c>
      <c r="K1" s="6"/>
      <c r="L1" s="6"/>
      <c r="M1" s="6" t="s">
        <v>46</v>
      </c>
      <c r="N1" s="6"/>
      <c r="O1" s="6"/>
      <c r="P1" s="6" t="s">
        <v>47</v>
      </c>
      <c r="Q1" s="6"/>
      <c r="R1" s="6"/>
      <c r="S1" s="6" t="s">
        <v>101</v>
      </c>
      <c r="T1" s="6"/>
      <c r="U1" s="6"/>
      <c r="V1" s="6" t="s">
        <v>108</v>
      </c>
      <c r="W1" s="6"/>
      <c r="X1" s="6"/>
      <c r="Y1" s="6" t="s">
        <v>111</v>
      </c>
      <c r="Z1" s="6"/>
      <c r="AA1" s="6"/>
      <c r="AB1" s="6" t="s">
        <v>112</v>
      </c>
      <c r="AC1" s="6"/>
      <c r="AD1" s="6"/>
    </row>
    <row r="2" spans="1:30" s="1" customFormat="1" x14ac:dyDescent="0.2">
      <c r="A2" s="1" t="s">
        <v>39</v>
      </c>
      <c r="B2" s="1" t="s">
        <v>0</v>
      </c>
      <c r="C2" s="1" t="s">
        <v>30</v>
      </c>
      <c r="D2" s="1" t="s">
        <v>1</v>
      </c>
      <c r="E2" s="1" t="s">
        <v>2</v>
      </c>
      <c r="F2" s="1" t="s">
        <v>3</v>
      </c>
      <c r="G2" s="1" t="s">
        <v>1</v>
      </c>
      <c r="H2" s="1" t="s">
        <v>106</v>
      </c>
      <c r="I2" s="1" t="s">
        <v>107</v>
      </c>
      <c r="J2" s="1" t="s">
        <v>1</v>
      </c>
      <c r="K2" s="1" t="s">
        <v>106</v>
      </c>
      <c r="L2" s="1" t="s">
        <v>107</v>
      </c>
      <c r="M2" s="1" t="s">
        <v>1</v>
      </c>
      <c r="N2" s="1" t="s">
        <v>106</v>
      </c>
      <c r="O2" s="1" t="s">
        <v>107</v>
      </c>
      <c r="P2" s="1" t="s">
        <v>1</v>
      </c>
      <c r="Q2" s="1" t="s">
        <v>106</v>
      </c>
      <c r="R2" s="1" t="s">
        <v>107</v>
      </c>
      <c r="S2" s="1" t="s">
        <v>1</v>
      </c>
      <c r="T2" s="1" t="s">
        <v>106</v>
      </c>
      <c r="U2" s="1" t="s">
        <v>107</v>
      </c>
      <c r="V2" s="1" t="s">
        <v>1</v>
      </c>
      <c r="W2" s="1" t="s">
        <v>106</v>
      </c>
      <c r="X2" s="1" t="s">
        <v>107</v>
      </c>
      <c r="Y2" s="1" t="s">
        <v>1</v>
      </c>
      <c r="Z2" s="1" t="s">
        <v>106</v>
      </c>
      <c r="AA2" s="1" t="s">
        <v>107</v>
      </c>
      <c r="AB2" s="1" t="s">
        <v>1</v>
      </c>
      <c r="AC2" s="1" t="s">
        <v>106</v>
      </c>
      <c r="AD2" s="1" t="s">
        <v>107</v>
      </c>
    </row>
    <row r="3" spans="1:30" x14ac:dyDescent="0.2">
      <c r="A3" s="7" t="s">
        <v>40</v>
      </c>
      <c r="B3" s="8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  <c r="S3">
        <v>241</v>
      </c>
      <c r="T3">
        <v>4</v>
      </c>
      <c r="U3">
        <v>10</v>
      </c>
      <c r="V3">
        <v>241</v>
      </c>
      <c r="W3">
        <v>4</v>
      </c>
      <c r="X3">
        <v>10</v>
      </c>
      <c r="Y3">
        <v>241</v>
      </c>
      <c r="Z3">
        <v>4</v>
      </c>
      <c r="AA3">
        <v>10</v>
      </c>
      <c r="AB3">
        <v>48</v>
      </c>
      <c r="AC3">
        <v>3</v>
      </c>
      <c r="AD3">
        <v>3</v>
      </c>
    </row>
    <row r="4" spans="1:30" x14ac:dyDescent="0.2">
      <c r="A4" s="7"/>
      <c r="B4" s="8"/>
      <c r="C4" t="s">
        <v>113</v>
      </c>
      <c r="AB4">
        <v>41</v>
      </c>
      <c r="AC4">
        <v>3</v>
      </c>
      <c r="AD4">
        <v>3</v>
      </c>
    </row>
    <row r="5" spans="1:30" x14ac:dyDescent="0.2">
      <c r="A5" s="7"/>
      <c r="B5" s="8"/>
      <c r="C5" t="s">
        <v>43</v>
      </c>
      <c r="D5">
        <v>297</v>
      </c>
      <c r="E5">
        <v>5</v>
      </c>
      <c r="F5">
        <v>8</v>
      </c>
      <c r="G5">
        <v>287</v>
      </c>
      <c r="H5">
        <v>4</v>
      </c>
      <c r="I5">
        <v>9</v>
      </c>
      <c r="J5">
        <v>282</v>
      </c>
      <c r="K5">
        <v>4</v>
      </c>
      <c r="L5">
        <v>11</v>
      </c>
      <c r="M5">
        <v>263</v>
      </c>
      <c r="N5">
        <v>4</v>
      </c>
      <c r="O5">
        <v>10</v>
      </c>
      <c r="P5">
        <v>263</v>
      </c>
      <c r="Q5">
        <v>4</v>
      </c>
      <c r="R5">
        <v>10</v>
      </c>
      <c r="S5">
        <v>263</v>
      </c>
      <c r="T5">
        <v>4</v>
      </c>
      <c r="U5">
        <v>10</v>
      </c>
      <c r="V5">
        <v>263</v>
      </c>
      <c r="W5">
        <v>4</v>
      </c>
      <c r="X5">
        <v>10</v>
      </c>
      <c r="Y5">
        <v>263</v>
      </c>
      <c r="Z5">
        <v>4</v>
      </c>
      <c r="AA5">
        <v>10</v>
      </c>
      <c r="AB5">
        <v>48</v>
      </c>
      <c r="AC5">
        <v>3</v>
      </c>
      <c r="AD5">
        <v>3</v>
      </c>
    </row>
    <row r="6" spans="1:30" x14ac:dyDescent="0.2">
      <c r="A6" s="7"/>
      <c r="B6" s="8"/>
      <c r="C6" t="s">
        <v>114</v>
      </c>
      <c r="AB6">
        <v>41</v>
      </c>
      <c r="AC6">
        <v>3</v>
      </c>
      <c r="AD6">
        <v>3</v>
      </c>
    </row>
    <row r="7" spans="1:30" x14ac:dyDescent="0.2">
      <c r="A7" s="7"/>
      <c r="B7" s="9" t="s">
        <v>115</v>
      </c>
      <c r="AB7">
        <v>57</v>
      </c>
      <c r="AC7">
        <v>3</v>
      </c>
      <c r="AD7">
        <v>2</v>
      </c>
    </row>
    <row r="8" spans="1:30" x14ac:dyDescent="0.2">
      <c r="A8" s="7"/>
      <c r="B8" s="8" t="s">
        <v>116</v>
      </c>
      <c r="C8" t="s">
        <v>117</v>
      </c>
      <c r="AB8">
        <v>76</v>
      </c>
      <c r="AC8">
        <v>3</v>
      </c>
      <c r="AD8">
        <v>4</v>
      </c>
    </row>
    <row r="9" spans="1:30" x14ac:dyDescent="0.2">
      <c r="A9" s="7"/>
      <c r="B9" s="8"/>
      <c r="C9" t="s">
        <v>118</v>
      </c>
      <c r="AB9">
        <v>98</v>
      </c>
      <c r="AC9">
        <v>3</v>
      </c>
      <c r="AD9">
        <v>4</v>
      </c>
    </row>
    <row r="10" spans="1:30" x14ac:dyDescent="0.2">
      <c r="A10" s="7"/>
      <c r="B10" s="8" t="s">
        <v>104</v>
      </c>
      <c r="C10" t="s">
        <v>113</v>
      </c>
      <c r="AB10">
        <v>70</v>
      </c>
      <c r="AC10">
        <v>4</v>
      </c>
      <c r="AD10">
        <v>3</v>
      </c>
    </row>
    <row r="11" spans="1:30" x14ac:dyDescent="0.2">
      <c r="A11" s="7"/>
      <c r="B11" s="8"/>
      <c r="C11" t="s">
        <v>114</v>
      </c>
      <c r="AB11">
        <v>70</v>
      </c>
      <c r="AC11">
        <v>4</v>
      </c>
      <c r="AD11">
        <v>3</v>
      </c>
    </row>
    <row r="12" spans="1:30" x14ac:dyDescent="0.2">
      <c r="A12" s="7" t="s">
        <v>45</v>
      </c>
      <c r="B12" s="8" t="s">
        <v>41</v>
      </c>
      <c r="C12" s="4" t="s">
        <v>102</v>
      </c>
      <c r="V12">
        <v>267</v>
      </c>
      <c r="W12">
        <v>10</v>
      </c>
      <c r="X12">
        <v>15</v>
      </c>
      <c r="Y12">
        <v>215</v>
      </c>
      <c r="Z12">
        <v>10</v>
      </c>
      <c r="AA12">
        <v>15</v>
      </c>
      <c r="AB12">
        <v>215</v>
      </c>
      <c r="AC12">
        <v>10</v>
      </c>
      <c r="AD12">
        <v>15</v>
      </c>
    </row>
    <row r="13" spans="1:30" x14ac:dyDescent="0.2">
      <c r="A13" s="7"/>
      <c r="B13" s="8"/>
      <c r="C13" t="s">
        <v>42</v>
      </c>
      <c r="D13">
        <v>493</v>
      </c>
      <c r="E13">
        <v>12</v>
      </c>
      <c r="F13">
        <v>19</v>
      </c>
      <c r="G13">
        <v>471</v>
      </c>
      <c r="H13">
        <v>12</v>
      </c>
      <c r="I13">
        <v>21</v>
      </c>
      <c r="J13">
        <v>461</v>
      </c>
      <c r="K13">
        <v>12</v>
      </c>
      <c r="L13">
        <v>19</v>
      </c>
      <c r="M13">
        <v>453</v>
      </c>
      <c r="N13">
        <v>12</v>
      </c>
      <c r="O13">
        <v>16</v>
      </c>
      <c r="P13">
        <v>447</v>
      </c>
      <c r="Q13">
        <v>12</v>
      </c>
      <c r="R13">
        <v>16</v>
      </c>
      <c r="S13">
        <v>447</v>
      </c>
      <c r="T13">
        <v>12</v>
      </c>
      <c r="U13">
        <v>16</v>
      </c>
      <c r="V13">
        <v>253</v>
      </c>
      <c r="W13">
        <v>10</v>
      </c>
      <c r="X13">
        <v>14</v>
      </c>
      <c r="Y13">
        <v>199</v>
      </c>
      <c r="Z13">
        <v>10</v>
      </c>
      <c r="AA13">
        <v>14</v>
      </c>
      <c r="AB13">
        <v>199</v>
      </c>
      <c r="AC13">
        <v>10</v>
      </c>
      <c r="AD13">
        <v>14</v>
      </c>
    </row>
    <row r="14" spans="1:30" x14ac:dyDescent="0.2">
      <c r="A14" s="7"/>
      <c r="B14" s="8"/>
      <c r="C14" s="4" t="s">
        <v>105</v>
      </c>
      <c r="V14">
        <v>257</v>
      </c>
      <c r="W14">
        <v>10</v>
      </c>
      <c r="X14">
        <v>15</v>
      </c>
      <c r="Y14">
        <v>220</v>
      </c>
      <c r="Z14">
        <v>10</v>
      </c>
      <c r="AA14">
        <v>15</v>
      </c>
      <c r="AB14">
        <v>220</v>
      </c>
      <c r="AC14">
        <v>10</v>
      </c>
      <c r="AD14">
        <v>15</v>
      </c>
    </row>
    <row r="15" spans="1:30" x14ac:dyDescent="0.2">
      <c r="A15" s="7"/>
      <c r="B15" s="8"/>
      <c r="C15" t="s">
        <v>43</v>
      </c>
      <c r="D15">
        <v>596</v>
      </c>
      <c r="E15">
        <v>12</v>
      </c>
      <c r="F15">
        <v>19</v>
      </c>
      <c r="G15">
        <v>568</v>
      </c>
      <c r="H15">
        <v>12</v>
      </c>
      <c r="I15">
        <v>21</v>
      </c>
      <c r="J15">
        <v>558</v>
      </c>
      <c r="K15">
        <v>12</v>
      </c>
      <c r="L15">
        <v>19</v>
      </c>
      <c r="M15">
        <v>550</v>
      </c>
      <c r="N15">
        <v>12</v>
      </c>
      <c r="O15">
        <v>16</v>
      </c>
      <c r="P15">
        <v>543</v>
      </c>
      <c r="Q15">
        <v>12</v>
      </c>
      <c r="R15">
        <v>16</v>
      </c>
      <c r="S15">
        <v>543</v>
      </c>
      <c r="T15">
        <v>12</v>
      </c>
      <c r="U15">
        <v>16</v>
      </c>
      <c r="V15">
        <v>253</v>
      </c>
      <c r="W15">
        <v>10</v>
      </c>
      <c r="X15">
        <v>14</v>
      </c>
      <c r="Y15">
        <v>215</v>
      </c>
      <c r="Z15">
        <v>10</v>
      </c>
      <c r="AA15">
        <v>14</v>
      </c>
      <c r="AB15">
        <v>215</v>
      </c>
      <c r="AC15">
        <v>10</v>
      </c>
      <c r="AD15">
        <v>14</v>
      </c>
    </row>
    <row r="16" spans="1:30" x14ac:dyDescent="0.2">
      <c r="A16" s="7"/>
      <c r="B16" s="8" t="s">
        <v>103</v>
      </c>
      <c r="C16" t="s">
        <v>110</v>
      </c>
      <c r="V16">
        <v>52</v>
      </c>
      <c r="W16">
        <v>4</v>
      </c>
      <c r="X16">
        <v>2</v>
      </c>
      <c r="Y16">
        <v>51</v>
      </c>
      <c r="Z16">
        <v>4</v>
      </c>
      <c r="AA16">
        <v>2</v>
      </c>
      <c r="AB16">
        <v>51</v>
      </c>
      <c r="AC16">
        <v>4</v>
      </c>
      <c r="AD16">
        <v>2</v>
      </c>
    </row>
    <row r="17" spans="1:30" x14ac:dyDescent="0.2">
      <c r="A17" s="7"/>
      <c r="B17" s="8"/>
      <c r="C17" t="s">
        <v>109</v>
      </c>
      <c r="V17">
        <v>120</v>
      </c>
      <c r="W17">
        <v>4</v>
      </c>
      <c r="X17">
        <v>2</v>
      </c>
      <c r="Y17">
        <v>119</v>
      </c>
      <c r="Z17">
        <v>4</v>
      </c>
      <c r="AA17">
        <v>2</v>
      </c>
      <c r="AB17">
        <v>119</v>
      </c>
      <c r="AC17">
        <v>4</v>
      </c>
      <c r="AD17">
        <v>2</v>
      </c>
    </row>
    <row r="18" spans="1:30" x14ac:dyDescent="0.2">
      <c r="A18" s="7"/>
      <c r="B18" s="8" t="s">
        <v>104</v>
      </c>
      <c r="C18" t="s">
        <v>110</v>
      </c>
      <c r="V18">
        <v>98</v>
      </c>
      <c r="W18">
        <v>12</v>
      </c>
      <c r="X18">
        <v>1</v>
      </c>
      <c r="Y18">
        <v>98</v>
      </c>
      <c r="Z18">
        <v>12</v>
      </c>
      <c r="AA18">
        <v>1</v>
      </c>
      <c r="AB18">
        <v>98</v>
      </c>
      <c r="AC18">
        <v>12</v>
      </c>
      <c r="AD18">
        <v>1</v>
      </c>
    </row>
    <row r="19" spans="1:30" x14ac:dyDescent="0.2">
      <c r="A19" s="7"/>
      <c r="B19" s="8"/>
      <c r="C19" t="s">
        <v>109</v>
      </c>
      <c r="V19">
        <v>147</v>
      </c>
      <c r="W19">
        <v>12</v>
      </c>
      <c r="X19">
        <v>1</v>
      </c>
      <c r="Y19">
        <v>147</v>
      </c>
      <c r="Z19">
        <v>12</v>
      </c>
      <c r="AA19">
        <v>1</v>
      </c>
      <c r="AB19">
        <v>147</v>
      </c>
      <c r="AC19">
        <v>12</v>
      </c>
      <c r="AD19">
        <v>1</v>
      </c>
    </row>
    <row r="20" spans="1:30" x14ac:dyDescent="0.2">
      <c r="D20" s="1">
        <f>SUM(D3:D19)</f>
        <v>1661</v>
      </c>
      <c r="E20" s="1">
        <f>SUM(E3:E19)</f>
        <v>34</v>
      </c>
      <c r="F20" s="1">
        <f>SUM(F3:F19)</f>
        <v>54</v>
      </c>
      <c r="G20" s="1">
        <f>SUM(G3:G19)</f>
        <v>1588</v>
      </c>
      <c r="H20" s="1">
        <f>SUM(H3:H19)</f>
        <v>32</v>
      </c>
      <c r="I20" s="1">
        <f>SUM(I3:I19)</f>
        <v>60</v>
      </c>
      <c r="J20" s="1">
        <f>SUM(J3:J19)</f>
        <v>1561</v>
      </c>
      <c r="K20" s="1">
        <f>SUM(K3:K19)</f>
        <v>32</v>
      </c>
      <c r="L20" s="1">
        <f>SUM(L3:L19)</f>
        <v>60</v>
      </c>
      <c r="M20" s="1">
        <f>SUM(M3:M19)</f>
        <v>1507</v>
      </c>
      <c r="N20" s="1">
        <f>SUM(N3:N19)</f>
        <v>32</v>
      </c>
      <c r="O20" s="1">
        <f>SUM(O3:O19)</f>
        <v>52</v>
      </c>
      <c r="P20" s="1">
        <f>SUM(P3:P19)</f>
        <v>1494</v>
      </c>
      <c r="Q20" s="1">
        <f>SUM(Q3:Q19)</f>
        <v>32</v>
      </c>
      <c r="R20" s="1">
        <f>SUM(R3:R19)</f>
        <v>52</v>
      </c>
      <c r="S20" s="1">
        <f>SUM(S3:S19)</f>
        <v>1494</v>
      </c>
      <c r="T20" s="1">
        <f>SUM(T3:T19)</f>
        <v>32</v>
      </c>
      <c r="U20" s="1">
        <f>SUM(U3:U19)</f>
        <v>52</v>
      </c>
      <c r="V20" s="1">
        <f>SUM(V3:V19)</f>
        <v>1951</v>
      </c>
      <c r="W20" s="1">
        <f>SUM(W3:W19)</f>
        <v>80</v>
      </c>
      <c r="X20" s="1">
        <f>SUM(X3:X19)</f>
        <v>84</v>
      </c>
      <c r="Y20" s="1">
        <f>SUM(Y3:Y19)</f>
        <v>1768</v>
      </c>
      <c r="Z20" s="1">
        <f>SUM(Z3:Z19)</f>
        <v>80</v>
      </c>
      <c r="AA20" s="1">
        <f t="shared" ref="AA20" si="0">SUM(AA3:AA19)</f>
        <v>84</v>
      </c>
      <c r="AB20" s="1">
        <f>SUM(AB3:AB19)</f>
        <v>1813</v>
      </c>
      <c r="AC20" s="1">
        <f>SUM(AC3:AC19)</f>
        <v>101</v>
      </c>
      <c r="AD20" s="1">
        <f>SUM(AD3:AD19)</f>
        <v>92</v>
      </c>
    </row>
    <row r="21" spans="1:30" x14ac:dyDescent="0.2">
      <c r="P21">
        <f>P20-D20</f>
        <v>-167</v>
      </c>
    </row>
    <row r="22" spans="1:30" x14ac:dyDescent="0.2">
      <c r="P22" s="2">
        <f>P21/D20</f>
        <v>-0.10054184226369657</v>
      </c>
    </row>
  </sheetData>
  <mergeCells count="17">
    <mergeCell ref="B8:B9"/>
    <mergeCell ref="B10:B11"/>
    <mergeCell ref="AB1:AD1"/>
    <mergeCell ref="Y1:AA1"/>
    <mergeCell ref="A12:A19"/>
    <mergeCell ref="B12:B15"/>
    <mergeCell ref="V1:X1"/>
    <mergeCell ref="S1:U1"/>
    <mergeCell ref="A3:A11"/>
    <mergeCell ref="D1:F1"/>
    <mergeCell ref="G1:I1"/>
    <mergeCell ref="J1:L1"/>
    <mergeCell ref="M1:O1"/>
    <mergeCell ref="P1:R1"/>
    <mergeCell ref="B16:B17"/>
    <mergeCell ref="B18:B19"/>
    <mergeCell ref="B3:B6"/>
  </mergeCells>
  <phoneticPr fontId="3" type="noConversion"/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activeCell="G7" sqref="G7"/>
    </sheetView>
  </sheetViews>
  <sheetFormatPr baseColWidth="10" defaultRowHeight="16" x14ac:dyDescent="0.2"/>
  <cols>
    <col min="1" max="1" width="22.28515625" customWidth="1"/>
    <col min="2" max="2" width="5.28515625" customWidth="1"/>
    <col min="3" max="3" width="5.7109375" customWidth="1"/>
    <col min="4" max="4" width="6.140625" customWidth="1"/>
    <col min="5" max="5" width="5.5703125" customWidth="1"/>
    <col min="6" max="6" width="5.7109375" customWidth="1"/>
    <col min="7" max="7" width="6.140625" customWidth="1"/>
  </cols>
  <sheetData>
    <row r="1" spans="1:7" x14ac:dyDescent="0.2">
      <c r="B1" s="5" t="s">
        <v>48</v>
      </c>
      <c r="C1" s="5"/>
      <c r="D1" s="5"/>
      <c r="E1" s="5" t="s">
        <v>49</v>
      </c>
      <c r="F1" s="5"/>
      <c r="G1" s="5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50</v>
      </c>
      <c r="E3">
        <v>20</v>
      </c>
      <c r="F3">
        <v>2</v>
      </c>
      <c r="G3">
        <v>1</v>
      </c>
    </row>
    <row r="4" spans="1:7" x14ac:dyDescent="0.2">
      <c r="A4" t="s">
        <v>52</v>
      </c>
      <c r="B4">
        <v>127</v>
      </c>
      <c r="C4">
        <v>4</v>
      </c>
      <c r="D4">
        <v>4</v>
      </c>
    </row>
    <row r="5" spans="1:7" x14ac:dyDescent="0.2">
      <c r="A5" t="s">
        <v>51</v>
      </c>
      <c r="B5">
        <v>29</v>
      </c>
      <c r="C5">
        <v>3</v>
      </c>
      <c r="D5">
        <v>1</v>
      </c>
    </row>
    <row r="6" spans="1:7" x14ac:dyDescent="0.2">
      <c r="A6" t="s">
        <v>53</v>
      </c>
      <c r="B6">
        <v>153</v>
      </c>
      <c r="C6">
        <v>6</v>
      </c>
      <c r="D6">
        <v>4</v>
      </c>
    </row>
    <row r="7" spans="1:7" x14ac:dyDescent="0.2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 x14ac:dyDescent="0.2">
      <c r="A8" t="s">
        <v>55</v>
      </c>
      <c r="B8">
        <v>284</v>
      </c>
      <c r="C8">
        <v>6</v>
      </c>
      <c r="D8">
        <v>6</v>
      </c>
    </row>
    <row r="9" spans="1:7" x14ac:dyDescent="0.2">
      <c r="A9" t="s">
        <v>56</v>
      </c>
      <c r="E9">
        <v>45</v>
      </c>
      <c r="F9">
        <v>4</v>
      </c>
      <c r="G9">
        <v>1</v>
      </c>
    </row>
    <row r="10" spans="1:7" x14ac:dyDescent="0.2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 x14ac:dyDescent="0.2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 x14ac:dyDescent="0.2">
      <c r="A12" t="s">
        <v>59</v>
      </c>
      <c r="B12">
        <v>44</v>
      </c>
      <c r="C12">
        <v>2</v>
      </c>
      <c r="D12">
        <v>4</v>
      </c>
    </row>
    <row r="13" spans="1:7" x14ac:dyDescent="0.2">
      <c r="A13" t="s">
        <v>60</v>
      </c>
      <c r="E13">
        <v>64</v>
      </c>
      <c r="F13">
        <v>4</v>
      </c>
      <c r="G13">
        <v>2</v>
      </c>
    </row>
    <row r="14" spans="1:7" x14ac:dyDescent="0.2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 x14ac:dyDescent="0.2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 x14ac:dyDescent="0.2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 x14ac:dyDescent="0.2">
      <c r="A17" t="s">
        <v>64</v>
      </c>
      <c r="E17">
        <v>34</v>
      </c>
      <c r="F17">
        <v>8</v>
      </c>
      <c r="G17">
        <v>0</v>
      </c>
    </row>
    <row r="18" spans="1:7" x14ac:dyDescent="0.2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 x14ac:dyDescent="0.2">
      <c r="E19">
        <f>E18-B18</f>
        <v>-752</v>
      </c>
    </row>
    <row r="20" spans="1:7" x14ac:dyDescent="0.2">
      <c r="E20" s="2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activeCell="Q14" sqref="Q14"/>
    </sheetView>
  </sheetViews>
  <sheetFormatPr baseColWidth="10" defaultRowHeight="16" x14ac:dyDescent="0.2"/>
  <cols>
    <col min="1" max="1" width="15.7109375" customWidth="1"/>
    <col min="2" max="3" width="5.7109375" customWidth="1"/>
    <col min="4" max="4" width="6.5703125" customWidth="1"/>
    <col min="5" max="6" width="5.7109375" customWidth="1"/>
    <col min="7" max="7" width="6.5703125" customWidth="1"/>
    <col min="8" max="9" width="5.7109375" customWidth="1"/>
    <col min="10" max="10" width="6.5703125" customWidth="1"/>
    <col min="11" max="12" width="5.7109375" customWidth="1"/>
    <col min="13" max="13" width="6.5703125" customWidth="1"/>
    <col min="14" max="15" width="5.7109375" customWidth="1"/>
    <col min="16" max="16" width="6.5703125" customWidth="1"/>
  </cols>
  <sheetData>
    <row r="1" spans="1:16" x14ac:dyDescent="0.2">
      <c r="B1" s="5" t="s">
        <v>69</v>
      </c>
      <c r="C1" s="5"/>
      <c r="D1" s="5"/>
      <c r="E1" s="5" t="s">
        <v>72</v>
      </c>
      <c r="F1" s="5"/>
      <c r="G1" s="5"/>
      <c r="H1" s="5" t="s">
        <v>73</v>
      </c>
      <c r="I1" s="5"/>
      <c r="J1" s="5"/>
      <c r="K1" s="5" t="s">
        <v>74</v>
      </c>
      <c r="L1" s="5"/>
      <c r="M1" s="5"/>
      <c r="N1" s="5" t="s">
        <v>75</v>
      </c>
      <c r="O1" s="5"/>
      <c r="P1" s="5"/>
    </row>
    <row r="2" spans="1:16" x14ac:dyDescent="0.2">
      <c r="A2" t="s">
        <v>68</v>
      </c>
      <c r="B2" t="s">
        <v>65</v>
      </c>
      <c r="C2" t="s">
        <v>66</v>
      </c>
      <c r="D2" t="s">
        <v>67</v>
      </c>
      <c r="E2" t="s">
        <v>65</v>
      </c>
      <c r="F2" t="s">
        <v>66</v>
      </c>
      <c r="G2" t="s">
        <v>67</v>
      </c>
      <c r="H2" t="s">
        <v>65</v>
      </c>
      <c r="I2" t="s">
        <v>66</v>
      </c>
      <c r="J2" t="s">
        <v>67</v>
      </c>
      <c r="K2" t="s">
        <v>65</v>
      </c>
      <c r="L2" t="s">
        <v>66</v>
      </c>
      <c r="M2" t="s">
        <v>67</v>
      </c>
      <c r="N2" t="s">
        <v>65</v>
      </c>
      <c r="O2" t="s">
        <v>66</v>
      </c>
      <c r="P2" t="s">
        <v>67</v>
      </c>
    </row>
    <row r="3" spans="1:16" x14ac:dyDescent="0.2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 x14ac:dyDescent="0.2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 x14ac:dyDescent="0.2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 x14ac:dyDescent="0.2">
      <c r="N6">
        <f>N5-B5</f>
        <v>-127</v>
      </c>
    </row>
    <row r="7" spans="1:16" x14ac:dyDescent="0.2">
      <c r="N7" s="2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zoomScale="130" zoomScaleNormal="130" workbookViewId="0">
      <selection sqref="A1:D2"/>
    </sheetView>
  </sheetViews>
  <sheetFormatPr baseColWidth="10" defaultRowHeight="16" x14ac:dyDescent="0.2"/>
  <cols>
    <col min="1" max="1" width="23.7109375" customWidth="1"/>
    <col min="2" max="2" width="5.7109375" customWidth="1"/>
    <col min="3" max="3" width="6" customWidth="1"/>
    <col min="4" max="4" width="6.7109375" customWidth="1"/>
    <col min="5" max="5" width="5.7109375" customWidth="1"/>
    <col min="6" max="6" width="6" customWidth="1"/>
    <col min="7" max="7" width="6.7109375" customWidth="1"/>
    <col min="8" max="8" width="5.7109375" customWidth="1"/>
    <col min="9" max="9" width="6" customWidth="1"/>
    <col min="10" max="10" width="6.7109375" customWidth="1"/>
  </cols>
  <sheetData>
    <row r="1" spans="1:10" x14ac:dyDescent="0.2">
      <c r="A1" s="1"/>
      <c r="B1" s="6" t="s">
        <v>77</v>
      </c>
      <c r="C1" s="6"/>
      <c r="D1" s="6"/>
      <c r="E1" s="6" t="s">
        <v>69</v>
      </c>
      <c r="F1" s="6"/>
      <c r="G1" s="6"/>
      <c r="H1" s="6" t="s">
        <v>72</v>
      </c>
      <c r="I1" s="6"/>
      <c r="J1" s="6"/>
    </row>
    <row r="2" spans="1:10" x14ac:dyDescent="0.2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 x14ac:dyDescent="0.2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 x14ac:dyDescent="0.2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 x14ac:dyDescent="0.2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 x14ac:dyDescent="0.2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 x14ac:dyDescent="0.2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 x14ac:dyDescent="0.2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 x14ac:dyDescent="0.2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 x14ac:dyDescent="0.2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 x14ac:dyDescent="0.2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 x14ac:dyDescent="0.2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 x14ac:dyDescent="0.2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 x14ac:dyDescent="0.2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 x14ac:dyDescent="0.2">
      <c r="A15" s="3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 x14ac:dyDescent="0.2">
      <c r="A16" s="3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 x14ac:dyDescent="0.2">
      <c r="A17" s="3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 x14ac:dyDescent="0.2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 x14ac:dyDescent="0.2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 x14ac:dyDescent="0.2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 x14ac:dyDescent="0.2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 x14ac:dyDescent="0.2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 x14ac:dyDescent="0.2">
      <c r="A24" s="3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 x14ac:dyDescent="0.2">
      <c r="A25" s="3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 x14ac:dyDescent="0.2">
      <c r="A26" s="3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 x14ac:dyDescent="0.2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 x14ac:dyDescent="0.2">
      <c r="A28" s="3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 x14ac:dyDescent="0.2">
      <c r="A29" s="3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 x14ac:dyDescent="0.2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 x14ac:dyDescent="0.2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 x14ac:dyDescent="0.2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 x14ac:dyDescent="0.2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 x14ac:dyDescent="0.2">
      <c r="E34">
        <f>E33-B33</f>
        <v>-292</v>
      </c>
    </row>
    <row r="35" spans="2:7" x14ac:dyDescent="0.2">
      <c r="E35" s="2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2025-05-12T05:18:42Z</dcterms:modified>
</cp:coreProperties>
</file>
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87274557-5504-4948-B40A-52E010EFEB22}" xr6:coauthVersionLast="47" xr6:coauthVersionMax="47" xr10:uidLastSave="{00000000-0000-0000-0000-000000000000}"/>
  <bookViews>
    <workbookView xWindow="35000" yWindow="-2540" windowWidth="24960" windowHeight="15900" activeTab="6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7" l="1"/>
  <c r="D22" i="7"/>
  <c r="E22" i="7"/>
  <c r="F22" i="7"/>
  <c r="G22" i="7"/>
  <c r="H22" i="7"/>
  <c r="I22" i="7"/>
  <c r="J22" i="7"/>
  <c r="K22" i="7"/>
  <c r="L22" i="7"/>
  <c r="M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P9" i="4"/>
  <c r="P8" i="4"/>
  <c r="P7" i="4"/>
  <c r="Q7" i="4"/>
  <c r="R7" i="4"/>
  <c r="L7" i="4"/>
  <c r="E7" i="4"/>
  <c r="F7" i="4"/>
  <c r="G7" i="4"/>
  <c r="H7" i="4"/>
  <c r="I7" i="4"/>
  <c r="J7" i="4"/>
  <c r="K7" i="4"/>
  <c r="M7" i="4"/>
  <c r="N7" i="4"/>
  <c r="O7" i="4"/>
  <c r="D7" i="4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</calcChain>
</file>

<file path=xl/sharedStrings.xml><?xml version="1.0" encoding="utf-8"?>
<sst xmlns="http://schemas.openxmlformats.org/spreadsheetml/2006/main" count="169" uniqueCount="97">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</sst>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164" fontId="0" fillId="0" borderId="0" xfId="1" applyNumberFormat="1" applyFont="1"/>
    <xf numFmtId="9" fontId="0" fillId="0" borderId="0" xfId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F9" sqref="F9"/>
    </sheetView>
  </sheetViews>
  <sheetFormatPr baseColWidth="10" defaultRowHeight="16" x14ac:dyDescent="0.2"/>
  <cols>
    <col min="1" max="1" width="28.6640625" bestFit="1" customWidth="1"/>
    <col min="2" max="2" width="4.1640625" bestFit="1" customWidth="1"/>
    <col min="3" max="3" width="5.5" bestFit="1" customWidth="1"/>
    <col min="4" max="4" width="6" bestFit="1" customWidth="1"/>
    <col min="5" max="5" width="4.83203125" bestFit="1" customWidth="1"/>
    <col min="6" max="6" width="5.5" bestFit="1" customWidth="1"/>
    <col min="7" max="7" width="6" bestFit="1" customWidth="1"/>
  </cols>
  <sheetData>
    <row r="1" spans="1:7" x14ac:dyDescent="0.2">
      <c r="B1" s="4" t="s">
        <v>6</v>
      </c>
      <c r="C1" s="4"/>
      <c r="D1" s="4"/>
      <c r="E1" s="4" t="s">
        <v>25</v>
      </c>
      <c r="F1" s="4"/>
      <c r="G1" s="4"/>
    </row>
    <row r="2" spans="1:7" x14ac:dyDescent="0.2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2</v>
      </c>
      <c r="G2" t="s">
        <v>3</v>
      </c>
    </row>
    <row r="3" spans="1:7" x14ac:dyDescent="0.2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 x14ac:dyDescent="0.2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 x14ac:dyDescent="0.2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 x14ac:dyDescent="0.2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 x14ac:dyDescent="0.2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 x14ac:dyDescent="0.2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 x14ac:dyDescent="0.2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 x14ac:dyDescent="0.2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 x14ac:dyDescent="0.2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 x14ac:dyDescent="0.2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 x14ac:dyDescent="0.2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activeCell="C1" sqref="C1"/>
    </sheetView>
  </sheetViews>
  <sheetFormatPr baseColWidth="10" defaultRowHeight="16" x14ac:dyDescent="0.2"/>
  <cols>
    <col min="1" max="1" width="27.83203125" bestFit="1" customWidth="1"/>
    <col min="2" max="2" width="12.33203125" bestFit="1" customWidth="1"/>
    <col min="3" max="3" width="5.6640625" bestFit="1" customWidth="1"/>
  </cols>
  <sheetData>
    <row r="1" spans="1:3" x14ac:dyDescent="0.2">
      <c r="A1" t="s">
        <v>26</v>
      </c>
      <c r="B1" t="s">
        <v>0</v>
      </c>
      <c r="C1" t="s">
        <v>27</v>
      </c>
    </row>
    <row r="2" spans="1:3" x14ac:dyDescent="0.2">
      <c r="A2" t="s">
        <v>15</v>
      </c>
      <c r="B2" t="s">
        <v>14</v>
      </c>
      <c r="C2">
        <v>-14</v>
      </c>
    </row>
    <row r="3" spans="1:3" x14ac:dyDescent="0.2">
      <c r="A3" t="s">
        <v>15</v>
      </c>
      <c r="B3" t="s">
        <v>16</v>
      </c>
      <c r="C3">
        <f>(50+103)-207</f>
        <v>-54</v>
      </c>
    </row>
    <row r="4" spans="1:3" x14ac:dyDescent="0.2">
      <c r="A4" t="s">
        <v>20</v>
      </c>
      <c r="B4" t="s">
        <v>21</v>
      </c>
      <c r="C4">
        <f>6*-14</f>
        <v>-84</v>
      </c>
    </row>
    <row r="5" spans="1:3" x14ac:dyDescent="0.2">
      <c r="A5" t="s">
        <v>17</v>
      </c>
      <c r="B5" t="s">
        <v>18</v>
      </c>
      <c r="C5">
        <f>88-108</f>
        <v>-20</v>
      </c>
    </row>
    <row r="6" spans="1:3" x14ac:dyDescent="0.2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F8" sqref="F8"/>
    </sheetView>
  </sheetViews>
  <sheetFormatPr baseColWidth="10" defaultRowHeight="16" x14ac:dyDescent="0.2"/>
  <cols>
    <col min="1" max="1" width="29.33203125" bestFit="1" customWidth="1"/>
    <col min="2" max="2" width="16" bestFit="1" customWidth="1"/>
    <col min="3" max="4" width="4.1640625" bestFit="1" customWidth="1"/>
    <col min="5" max="5" width="5.1640625" bestFit="1" customWidth="1"/>
    <col min="6" max="6" width="4.1640625" bestFit="1" customWidth="1"/>
  </cols>
  <sheetData>
    <row r="1" spans="1:6" x14ac:dyDescent="0.2">
      <c r="A1" t="s">
        <v>0</v>
      </c>
      <c r="B1" t="s">
        <v>30</v>
      </c>
      <c r="C1" t="s">
        <v>28</v>
      </c>
      <c r="D1" t="s">
        <v>29</v>
      </c>
      <c r="E1" t="s">
        <v>31</v>
      </c>
      <c r="F1" t="s">
        <v>37</v>
      </c>
    </row>
    <row r="2" spans="1:6" x14ac:dyDescent="0.2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 x14ac:dyDescent="0.2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 x14ac:dyDescent="0.2">
      <c r="A4" t="s">
        <v>32</v>
      </c>
      <c r="B4" t="s">
        <v>23</v>
      </c>
      <c r="C4">
        <v>47</v>
      </c>
      <c r="D4">
        <v>60</v>
      </c>
    </row>
    <row r="5" spans="1:6" x14ac:dyDescent="0.2">
      <c r="A5" t="s">
        <v>32</v>
      </c>
      <c r="B5" t="s">
        <v>33</v>
      </c>
      <c r="E5">
        <v>64</v>
      </c>
      <c r="F5">
        <v>64</v>
      </c>
    </row>
    <row r="6" spans="1:6" x14ac:dyDescent="0.2">
      <c r="A6" t="s">
        <v>34</v>
      </c>
      <c r="B6" t="s">
        <v>35</v>
      </c>
      <c r="F6">
        <v>13</v>
      </c>
    </row>
    <row r="7" spans="1:6" x14ac:dyDescent="0.2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 x14ac:dyDescent="0.2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 x14ac:dyDescent="0.2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R9"/>
  <sheetViews>
    <sheetView zoomScale="130" zoomScaleNormal="130" workbookViewId="0">
      <selection activeCell="D2" sqref="D2:I2"/>
    </sheetView>
  </sheetViews>
  <sheetFormatPr baseColWidth="10" defaultRowHeight="16" x14ac:dyDescent="0.2"/>
  <cols>
    <col min="1" max="1" width="15.1640625" bestFit="1" customWidth="1"/>
    <col min="2" max="2" width="8.6640625" bestFit="1" customWidth="1"/>
    <col min="3" max="3" width="19.33203125" bestFit="1" customWidth="1"/>
    <col min="4" max="4" width="5.1640625" bestFit="1" customWidth="1"/>
    <col min="5" max="5" width="5.5" bestFit="1" customWidth="1"/>
    <col min="6" max="6" width="6" bestFit="1" customWidth="1"/>
    <col min="7" max="7" width="5.1640625" bestFit="1" customWidth="1"/>
    <col min="8" max="8" width="5.5" bestFit="1" customWidth="1"/>
    <col min="9" max="9" width="6" bestFit="1" customWidth="1"/>
    <col min="10" max="10" width="5.1640625" bestFit="1" customWidth="1"/>
    <col min="11" max="11" width="5.5" bestFit="1" customWidth="1"/>
    <col min="12" max="12" width="6" bestFit="1" customWidth="1"/>
    <col min="13" max="13" width="5.1640625" bestFit="1" customWidth="1"/>
    <col min="14" max="14" width="5.5" bestFit="1" customWidth="1"/>
    <col min="15" max="15" width="6" bestFit="1" customWidth="1"/>
    <col min="16" max="16" width="6.83203125" bestFit="1" customWidth="1"/>
    <col min="17" max="17" width="5.5" bestFit="1" customWidth="1"/>
    <col min="18" max="18" width="6" bestFit="1" customWidth="1"/>
  </cols>
  <sheetData>
    <row r="1" spans="1:18" x14ac:dyDescent="0.2">
      <c r="D1" s="4" t="s">
        <v>6</v>
      </c>
      <c r="E1" s="4"/>
      <c r="F1" s="4"/>
      <c r="G1" s="4" t="s">
        <v>25</v>
      </c>
      <c r="H1" s="4"/>
      <c r="I1" s="4"/>
      <c r="J1" s="4" t="s">
        <v>44</v>
      </c>
      <c r="K1" s="4"/>
      <c r="L1" s="4"/>
      <c r="M1" s="4" t="s">
        <v>46</v>
      </c>
      <c r="N1" s="4"/>
      <c r="O1" s="4"/>
      <c r="P1" s="4" t="s">
        <v>47</v>
      </c>
      <c r="Q1" s="4"/>
      <c r="R1" s="4"/>
    </row>
    <row r="2" spans="1:18" x14ac:dyDescent="0.2">
      <c r="A2" t="s">
        <v>39</v>
      </c>
      <c r="B2" t="s">
        <v>0</v>
      </c>
      <c r="C2" t="s">
        <v>30</v>
      </c>
      <c r="D2" t="s">
        <v>1</v>
      </c>
      <c r="E2" t="s">
        <v>2</v>
      </c>
      <c r="F2" t="s">
        <v>3</v>
      </c>
      <c r="G2" t="s">
        <v>1</v>
      </c>
      <c r="H2" t="s">
        <v>2</v>
      </c>
      <c r="I2" t="s">
        <v>3</v>
      </c>
      <c r="J2" t="s">
        <v>1</v>
      </c>
      <c r="K2" t="s">
        <v>2</v>
      </c>
      <c r="L2" t="s">
        <v>3</v>
      </c>
      <c r="M2" t="s">
        <v>1</v>
      </c>
      <c r="N2" t="s">
        <v>2</v>
      </c>
      <c r="O2" t="s">
        <v>3</v>
      </c>
      <c r="P2" t="s">
        <v>1</v>
      </c>
      <c r="Q2" t="s">
        <v>2</v>
      </c>
      <c r="R2" t="s">
        <v>3</v>
      </c>
    </row>
    <row r="3" spans="1:18" x14ac:dyDescent="0.2">
      <c r="A3" t="s">
        <v>40</v>
      </c>
      <c r="B3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</row>
    <row r="4" spans="1:18" x14ac:dyDescent="0.2">
      <c r="A4" t="s">
        <v>40</v>
      </c>
      <c r="B4" t="s">
        <v>41</v>
      </c>
      <c r="C4" t="s">
        <v>43</v>
      </c>
      <c r="D4">
        <v>297</v>
      </c>
      <c r="E4">
        <v>5</v>
      </c>
      <c r="F4">
        <v>8</v>
      </c>
      <c r="G4">
        <v>287</v>
      </c>
      <c r="H4">
        <v>4</v>
      </c>
      <c r="I4">
        <v>9</v>
      </c>
      <c r="J4">
        <v>282</v>
      </c>
      <c r="K4">
        <v>4</v>
      </c>
      <c r="L4">
        <v>11</v>
      </c>
      <c r="M4">
        <v>263</v>
      </c>
      <c r="N4">
        <v>4</v>
      </c>
      <c r="O4">
        <v>10</v>
      </c>
      <c r="P4">
        <v>263</v>
      </c>
      <c r="Q4">
        <v>4</v>
      </c>
      <c r="R4">
        <v>10</v>
      </c>
    </row>
    <row r="5" spans="1:18" x14ac:dyDescent="0.2">
      <c r="A5" t="s">
        <v>45</v>
      </c>
      <c r="B5" t="s">
        <v>41</v>
      </c>
      <c r="C5" t="s">
        <v>42</v>
      </c>
      <c r="D5">
        <v>493</v>
      </c>
      <c r="E5">
        <v>12</v>
      </c>
      <c r="F5">
        <v>19</v>
      </c>
      <c r="G5">
        <v>471</v>
      </c>
      <c r="H5">
        <v>12</v>
      </c>
      <c r="I5">
        <v>21</v>
      </c>
      <c r="J5">
        <v>461</v>
      </c>
      <c r="K5">
        <v>12</v>
      </c>
      <c r="L5">
        <v>19</v>
      </c>
      <c r="M5">
        <v>453</v>
      </c>
      <c r="N5">
        <v>12</v>
      </c>
      <c r="O5">
        <v>16</v>
      </c>
      <c r="P5">
        <v>447</v>
      </c>
      <c r="Q5">
        <v>12</v>
      </c>
      <c r="R5">
        <v>16</v>
      </c>
    </row>
    <row r="6" spans="1:18" x14ac:dyDescent="0.2">
      <c r="A6" t="s">
        <v>45</v>
      </c>
      <c r="B6" t="s">
        <v>41</v>
      </c>
      <c r="C6" t="s">
        <v>43</v>
      </c>
      <c r="D6">
        <v>596</v>
      </c>
      <c r="E6">
        <v>12</v>
      </c>
      <c r="F6">
        <v>19</v>
      </c>
      <c r="G6">
        <v>568</v>
      </c>
      <c r="H6">
        <v>12</v>
      </c>
      <c r="I6">
        <v>21</v>
      </c>
      <c r="J6">
        <v>558</v>
      </c>
      <c r="K6">
        <v>12</v>
      </c>
      <c r="L6">
        <v>19</v>
      </c>
      <c r="M6">
        <v>550</v>
      </c>
      <c r="N6">
        <v>12</v>
      </c>
      <c r="O6">
        <v>16</v>
      </c>
      <c r="P6">
        <v>543</v>
      </c>
      <c r="Q6">
        <v>12</v>
      </c>
      <c r="R6">
        <v>16</v>
      </c>
    </row>
    <row r="7" spans="1:18" x14ac:dyDescent="0.2">
      <c r="D7" s="1">
        <f>SUM(D3:D6)</f>
        <v>1661</v>
      </c>
      <c r="E7" s="1">
        <f t="shared" ref="E7:O7" si="0">SUM(E3:E6)</f>
        <v>34</v>
      </c>
      <c r="F7" s="1">
        <f t="shared" si="0"/>
        <v>54</v>
      </c>
      <c r="G7" s="1">
        <f t="shared" si="0"/>
        <v>1588</v>
      </c>
      <c r="H7" s="1">
        <f t="shared" si="0"/>
        <v>32</v>
      </c>
      <c r="I7" s="1">
        <f t="shared" si="0"/>
        <v>60</v>
      </c>
      <c r="J7" s="1">
        <f t="shared" si="0"/>
        <v>1561</v>
      </c>
      <c r="K7" s="1">
        <f t="shared" si="0"/>
        <v>32</v>
      </c>
      <c r="L7" s="1">
        <f>SUM(L3:L6)</f>
        <v>60</v>
      </c>
      <c r="M7" s="1">
        <f t="shared" si="0"/>
        <v>1507</v>
      </c>
      <c r="N7" s="1">
        <f t="shared" si="0"/>
        <v>32</v>
      </c>
      <c r="O7" s="1">
        <f t="shared" si="0"/>
        <v>52</v>
      </c>
      <c r="P7" s="1">
        <f t="shared" ref="P7" si="1">SUM(P3:P6)</f>
        <v>1494</v>
      </c>
      <c r="Q7" s="1">
        <f t="shared" ref="Q7" si="2">SUM(Q3:Q6)</f>
        <v>32</v>
      </c>
      <c r="R7" s="1">
        <f t="shared" ref="R7" si="3">SUM(R3:R6)</f>
        <v>52</v>
      </c>
    </row>
    <row r="8" spans="1:18" x14ac:dyDescent="0.2">
      <c r="P8">
        <f>P7-D7</f>
        <v>-167</v>
      </c>
    </row>
    <row r="9" spans="1:18" x14ac:dyDescent="0.2">
      <c r="P9" s="2">
        <f>P8/D7</f>
        <v>-0.10054184226369657</v>
      </c>
    </row>
  </sheetData>
  <mergeCells count="5">
    <mergeCell ref="D1:F1"/>
    <mergeCell ref="G1:I1"/>
    <mergeCell ref="J1:L1"/>
    <mergeCell ref="M1:O1"/>
    <mergeCell ref="P1:R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activeCell="G7" sqref="G7"/>
    </sheetView>
  </sheetViews>
  <sheetFormatPr baseColWidth="10" defaultRowHeight="16" x14ac:dyDescent="0.2"/>
  <cols>
    <col min="1" max="1" width="22.1640625" bestFit="1" customWidth="1"/>
    <col min="2" max="2" width="5.1640625" bestFit="1" customWidth="1"/>
    <col min="3" max="3" width="5.5" bestFit="1" customWidth="1"/>
    <col min="4" max="4" width="6" bestFit="1" customWidth="1"/>
    <col min="5" max="5" width="5.33203125" bestFit="1" customWidth="1"/>
    <col min="6" max="6" width="5.5" bestFit="1" customWidth="1"/>
    <col min="7" max="7" width="6" bestFit="1" customWidth="1"/>
  </cols>
  <sheetData>
    <row r="1" spans="1:7" x14ac:dyDescent="0.2">
      <c r="B1" s="4" t="s">
        <v>48</v>
      </c>
      <c r="C1" s="4"/>
      <c r="D1" s="4"/>
      <c r="E1" s="4" t="s">
        <v>49</v>
      </c>
      <c r="F1" s="4"/>
      <c r="G1" s="4"/>
    </row>
    <row r="2" spans="1:7" x14ac:dyDescent="0.2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2</v>
      </c>
      <c r="G2" t="s">
        <v>3</v>
      </c>
    </row>
    <row r="3" spans="1:7" x14ac:dyDescent="0.2">
      <c r="A3" t="s">
        <v>50</v>
      </c>
      <c r="E3">
        <v>20</v>
      </c>
      <c r="F3">
        <v>2</v>
      </c>
      <c r="G3">
        <v>1</v>
      </c>
    </row>
    <row r="4" spans="1:7" x14ac:dyDescent="0.2">
      <c r="A4" t="s">
        <v>52</v>
      </c>
      <c r="B4">
        <v>127</v>
      </c>
      <c r="C4">
        <v>4</v>
      </c>
      <c r="D4">
        <v>4</v>
      </c>
    </row>
    <row r="5" spans="1:7" x14ac:dyDescent="0.2">
      <c r="A5" t="s">
        <v>51</v>
      </c>
      <c r="B5">
        <v>29</v>
      </c>
      <c r="C5">
        <v>3</v>
      </c>
      <c r="D5">
        <v>1</v>
      </c>
    </row>
    <row r="6" spans="1:7" x14ac:dyDescent="0.2">
      <c r="A6" t="s">
        <v>53</v>
      </c>
      <c r="B6">
        <v>153</v>
      </c>
      <c r="C6">
        <v>6</v>
      </c>
      <c r="D6">
        <v>4</v>
      </c>
    </row>
    <row r="7" spans="1:7" x14ac:dyDescent="0.2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 x14ac:dyDescent="0.2">
      <c r="A8" t="s">
        <v>55</v>
      </c>
      <c r="B8">
        <v>284</v>
      </c>
      <c r="C8">
        <v>6</v>
      </c>
      <c r="D8">
        <v>6</v>
      </c>
    </row>
    <row r="9" spans="1:7" x14ac:dyDescent="0.2">
      <c r="A9" t="s">
        <v>56</v>
      </c>
      <c r="E9">
        <v>45</v>
      </c>
      <c r="F9">
        <v>4</v>
      </c>
      <c r="G9">
        <v>1</v>
      </c>
    </row>
    <row r="10" spans="1:7" x14ac:dyDescent="0.2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 x14ac:dyDescent="0.2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 x14ac:dyDescent="0.2">
      <c r="A12" t="s">
        <v>59</v>
      </c>
      <c r="B12">
        <v>44</v>
      </c>
      <c r="C12">
        <v>2</v>
      </c>
      <c r="D12">
        <v>4</v>
      </c>
    </row>
    <row r="13" spans="1:7" x14ac:dyDescent="0.2">
      <c r="A13" t="s">
        <v>60</v>
      </c>
      <c r="E13">
        <v>64</v>
      </c>
      <c r="F13">
        <v>4</v>
      </c>
      <c r="G13">
        <v>2</v>
      </c>
    </row>
    <row r="14" spans="1:7" x14ac:dyDescent="0.2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 x14ac:dyDescent="0.2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 x14ac:dyDescent="0.2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 x14ac:dyDescent="0.2">
      <c r="A17" t="s">
        <v>64</v>
      </c>
      <c r="E17">
        <v>34</v>
      </c>
      <c r="F17">
        <v>8</v>
      </c>
      <c r="G17">
        <v>0</v>
      </c>
    </row>
    <row r="18" spans="1:7" x14ac:dyDescent="0.2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 x14ac:dyDescent="0.2">
      <c r="E19">
        <f>E18-B18</f>
        <v>-752</v>
      </c>
    </row>
    <row r="20" spans="1:7" x14ac:dyDescent="0.2">
      <c r="E20" s="3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activeCell="Q14" sqref="Q14"/>
    </sheetView>
  </sheetViews>
  <sheetFormatPr baseColWidth="10" defaultRowHeight="16" x14ac:dyDescent="0.2"/>
  <cols>
    <col min="1" max="1" width="15.5" bestFit="1" customWidth="1"/>
    <col min="2" max="2" width="5.5" bestFit="1" customWidth="1"/>
    <col min="3" max="3" width="5.6640625" bestFit="1" customWidth="1"/>
    <col min="4" max="4" width="6.33203125" bestFit="1" customWidth="1"/>
    <col min="5" max="5" width="5.5" bestFit="1" customWidth="1"/>
    <col min="6" max="6" width="5.6640625" bestFit="1" customWidth="1"/>
    <col min="7" max="7" width="6.33203125" bestFit="1" customWidth="1"/>
    <col min="8" max="8" width="5.5" bestFit="1" customWidth="1"/>
    <col min="9" max="9" width="5.6640625" bestFit="1" customWidth="1"/>
    <col min="10" max="10" width="6.33203125" bestFit="1" customWidth="1"/>
    <col min="11" max="11" width="5.5" bestFit="1" customWidth="1"/>
    <col min="12" max="12" width="5.6640625" bestFit="1" customWidth="1"/>
    <col min="13" max="13" width="6.33203125" bestFit="1" customWidth="1"/>
    <col min="14" max="14" width="5.5" bestFit="1" customWidth="1"/>
    <col min="15" max="15" width="5.6640625" bestFit="1" customWidth="1"/>
    <col min="16" max="16" width="6.33203125" bestFit="1" customWidth="1"/>
  </cols>
  <sheetData>
    <row r="1" spans="1:16" x14ac:dyDescent="0.2">
      <c r="B1" s="4" t="s">
        <v>69</v>
      </c>
      <c r="C1" s="4"/>
      <c r="D1" s="4"/>
      <c r="E1" s="4" t="s">
        <v>72</v>
      </c>
      <c r="F1" s="4"/>
      <c r="G1" s="4"/>
      <c r="H1" s="4" t="s">
        <v>73</v>
      </c>
      <c r="I1" s="4"/>
      <c r="J1" s="4"/>
      <c r="K1" s="4" t="s">
        <v>74</v>
      </c>
      <c r="L1" s="4"/>
      <c r="M1" s="4"/>
      <c r="N1" s="4" t="s">
        <v>75</v>
      </c>
      <c r="O1" s="4"/>
      <c r="P1" s="4"/>
    </row>
    <row r="2" spans="1:16" x14ac:dyDescent="0.2">
      <c r="A2" t="s">
        <v>68</v>
      </c>
      <c r="B2" t="s">
        <v>65</v>
      </c>
      <c r="C2" t="s">
        <v>66</v>
      </c>
      <c r="D2" t="s">
        <v>67</v>
      </c>
      <c r="E2" t="s">
        <v>65</v>
      </c>
      <c r="F2" t="s">
        <v>66</v>
      </c>
      <c r="G2" t="s">
        <v>67</v>
      </c>
      <c r="H2" t="s">
        <v>65</v>
      </c>
      <c r="I2" t="s">
        <v>66</v>
      </c>
      <c r="J2" t="s">
        <v>67</v>
      </c>
      <c r="K2" t="s">
        <v>65</v>
      </c>
      <c r="L2" t="s">
        <v>66</v>
      </c>
      <c r="M2" t="s">
        <v>67</v>
      </c>
      <c r="N2" t="s">
        <v>65</v>
      </c>
      <c r="O2" t="s">
        <v>66</v>
      </c>
      <c r="P2" t="s">
        <v>67</v>
      </c>
    </row>
    <row r="3" spans="1:16" x14ac:dyDescent="0.2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 x14ac:dyDescent="0.2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 x14ac:dyDescent="0.2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 x14ac:dyDescent="0.2">
      <c r="N6">
        <f>N5-B5</f>
        <v>-127</v>
      </c>
    </row>
    <row r="7" spans="1:16" x14ac:dyDescent="0.2">
      <c r="N7" s="3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M22"/>
  <sheetViews>
    <sheetView tabSelected="1" zoomScale="130" zoomScaleNormal="130" workbookViewId="0">
      <selection activeCell="K6" sqref="K6"/>
    </sheetView>
  </sheetViews>
  <sheetFormatPr baseColWidth="10" defaultRowHeight="16" x14ac:dyDescent="0.2"/>
  <cols>
    <col min="1" max="1" width="23.5" bestFit="1" customWidth="1"/>
    <col min="2" max="2" width="5.5" bestFit="1" customWidth="1"/>
    <col min="3" max="3" width="5.83203125" bestFit="1" customWidth="1"/>
    <col min="4" max="4" width="6.6640625" bestFit="1" customWidth="1"/>
    <col min="5" max="5" width="5.5" bestFit="1" customWidth="1"/>
    <col min="6" max="6" width="5.83203125" bestFit="1" customWidth="1"/>
    <col min="7" max="7" width="6.6640625" bestFit="1" customWidth="1"/>
    <col min="8" max="8" width="5.5" bestFit="1" customWidth="1"/>
    <col min="9" max="9" width="5.83203125" bestFit="1" customWidth="1"/>
    <col min="10" max="10" width="6.6640625" bestFit="1" customWidth="1"/>
    <col min="11" max="11" width="5.5" bestFit="1" customWidth="1"/>
    <col min="12" max="12" width="5.83203125" bestFit="1" customWidth="1"/>
    <col min="13" max="13" width="6.6640625" bestFit="1" customWidth="1"/>
  </cols>
  <sheetData>
    <row r="1" spans="1:13" x14ac:dyDescent="0.2">
      <c r="A1" s="1"/>
      <c r="B1" s="5" t="s">
        <v>77</v>
      </c>
      <c r="C1" s="5"/>
      <c r="D1" s="5"/>
      <c r="E1" s="5" t="s">
        <v>69</v>
      </c>
      <c r="F1" s="5"/>
      <c r="G1" s="5"/>
      <c r="H1" s="5" t="s">
        <v>72</v>
      </c>
      <c r="I1" s="5"/>
      <c r="J1" s="5"/>
      <c r="K1" s="5" t="s">
        <v>73</v>
      </c>
      <c r="L1" s="5"/>
      <c r="M1" s="5"/>
    </row>
    <row r="2" spans="1:13" x14ac:dyDescent="0.2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  <c r="K2" s="1" t="s">
        <v>65</v>
      </c>
      <c r="L2" s="1" t="s">
        <v>66</v>
      </c>
      <c r="M2" s="1" t="s">
        <v>67</v>
      </c>
    </row>
    <row r="3" spans="1:13" x14ac:dyDescent="0.2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  <c r="K3">
        <v>188</v>
      </c>
      <c r="L3">
        <v>6</v>
      </c>
      <c r="M3">
        <v>6</v>
      </c>
    </row>
    <row r="4" spans="1:13" x14ac:dyDescent="0.2">
      <c r="A4" s="6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  <c r="K4">
        <v>265</v>
      </c>
      <c r="L4">
        <v>3</v>
      </c>
      <c r="M4">
        <v>3</v>
      </c>
    </row>
    <row r="5" spans="1:13" x14ac:dyDescent="0.2">
      <c r="A5" s="6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">
      <c r="A6" s="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3" x14ac:dyDescent="0.2">
      <c r="A7" s="6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3" x14ac:dyDescent="0.2">
      <c r="A8" s="6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3" x14ac:dyDescent="0.2">
      <c r="A9" s="6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3" x14ac:dyDescent="0.2">
      <c r="A10" s="6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3" x14ac:dyDescent="0.2">
      <c r="A11" s="6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3" x14ac:dyDescent="0.2">
      <c r="A12" s="6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3" x14ac:dyDescent="0.2">
      <c r="A13" s="6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3" x14ac:dyDescent="0.2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2">
      <c r="A15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3" x14ac:dyDescent="0.2">
      <c r="A16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3" x14ac:dyDescent="0.2">
      <c r="A17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3" x14ac:dyDescent="0.2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3" x14ac:dyDescent="0.2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3" x14ac:dyDescent="0.2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3" x14ac:dyDescent="0.2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3" x14ac:dyDescent="0.2">
      <c r="B22" s="1">
        <f>SUM(B3:B21)</f>
        <v>2871</v>
      </c>
      <c r="C22" s="1">
        <f t="shared" ref="C22:M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  <c r="K22" s="1">
        <f t="shared" si="0"/>
        <v>453</v>
      </c>
      <c r="L22" s="1">
        <f t="shared" si="0"/>
        <v>9</v>
      </c>
      <c r="M22" s="1">
        <f t="shared" si="0"/>
        <v>9</v>
      </c>
    </row>
  </sheetData>
  <mergeCells count="4">
    <mergeCell ref="B1:D1"/>
    <mergeCell ref="E1:G1"/>
    <mergeCell ref="H1:J1"/>
    <mergeCell ref="K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2025-01-08T21:10:15Z</dcterms:modified>
</cp:coreProperties>
</file>
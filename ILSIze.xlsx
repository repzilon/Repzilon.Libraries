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BA05290E-D578-FC48-8C2E-E0453D78EB7C}" xr6:coauthVersionLast="47" xr6:coauthVersionMax="47" xr10:uidLastSave="{00000000-0000-0000-0000-000000000000}"/>
  <bookViews>
    <workbookView xWindow="0" yWindow="500" windowWidth="25600" windowHeight="14420" firstSheet="2" activeTab="9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  <sheet name="Console.Write" sheetId="9" r:id="rId9"/>
    <sheet name="String.Forma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J24" i="9" s="1"/>
  <c r="K24" i="9" s="1"/>
  <c r="H24" i="9"/>
  <c r="I23" i="9"/>
  <c r="H23" i="9"/>
  <c r="I22" i="9"/>
  <c r="J22" i="9" s="1"/>
  <c r="K22" i="9" s="1"/>
  <c r="H22" i="9"/>
  <c r="I21" i="9"/>
  <c r="H21" i="9"/>
  <c r="I20" i="9"/>
  <c r="H20" i="9"/>
  <c r="I19" i="9"/>
  <c r="H19" i="9"/>
  <c r="I18" i="9"/>
  <c r="J18" i="9" s="1"/>
  <c r="K18" i="9" s="1"/>
  <c r="H18" i="9"/>
  <c r="I17" i="9"/>
  <c r="H17" i="9"/>
  <c r="I11" i="9"/>
  <c r="I12" i="9"/>
  <c r="J12" i="9" s="1"/>
  <c r="K12" i="9" s="1"/>
  <c r="I13" i="9"/>
  <c r="J13" i="9" s="1"/>
  <c r="K13" i="9" s="1"/>
  <c r="I14" i="9"/>
  <c r="J14" i="9" s="1"/>
  <c r="K14" i="9" s="1"/>
  <c r="I10" i="9"/>
  <c r="J10" i="9" s="1"/>
  <c r="K10" i="9" s="1"/>
  <c r="I15" i="9"/>
  <c r="I16" i="9"/>
  <c r="H16" i="9"/>
  <c r="H15" i="9"/>
  <c r="J15" i="9" s="1"/>
  <c r="K15" i="9" s="1"/>
  <c r="H14" i="9"/>
  <c r="H13" i="9"/>
  <c r="I3" i="9"/>
  <c r="J3" i="9" s="1"/>
  <c r="K3" i="9" s="1"/>
  <c r="I4" i="9"/>
  <c r="I5" i="9"/>
  <c r="I6" i="9"/>
  <c r="I7" i="9"/>
  <c r="J7" i="9" s="1"/>
  <c r="K7" i="9" s="1"/>
  <c r="I8" i="9"/>
  <c r="I9" i="9"/>
  <c r="I2" i="9"/>
  <c r="H12" i="9"/>
  <c r="H11" i="9"/>
  <c r="H10" i="9"/>
  <c r="H9" i="9"/>
  <c r="J9" i="9" s="1"/>
  <c r="K9" i="9" s="1"/>
  <c r="H8" i="9"/>
  <c r="H7" i="9"/>
  <c r="H6" i="9"/>
  <c r="H5" i="9"/>
  <c r="J5" i="9" s="1"/>
  <c r="K5" i="9" s="1"/>
  <c r="H4" i="9"/>
  <c r="H3" i="9"/>
  <c r="H2" i="9"/>
  <c r="J2" i="9" s="1"/>
  <c r="K2" i="9" s="1"/>
  <c r="AH9" i="8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J17" i="9" l="1"/>
  <c r="K17" i="9" s="1"/>
  <c r="J19" i="9"/>
  <c r="K19" i="9" s="1"/>
  <c r="J21" i="9"/>
  <c r="K21" i="9" s="1"/>
  <c r="J23" i="9"/>
  <c r="K23" i="9" s="1"/>
  <c r="J4" i="9"/>
  <c r="K4" i="9" s="1"/>
  <c r="J11" i="9"/>
  <c r="K11" i="9" s="1"/>
  <c r="J6" i="9"/>
  <c r="K6" i="9" s="1"/>
  <c r="J16" i="9"/>
  <c r="K16" i="9" s="1"/>
  <c r="J8" i="9"/>
  <c r="K8" i="9" s="1"/>
  <c r="J20" i="9"/>
  <c r="K20" i="9" s="1"/>
  <c r="H10" i="8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<sst xmlns="http://schemas.openxmlformats.org/spreadsheetml/2006/main" count="287" uniqueCount="164">
  <si>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</si>
  <si>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</si>
  <si>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</si>
  <si>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</si>
  <si>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</si>
  <si>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</si>
  <si>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</si>
  <si>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</si>
  <si>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</si>
  <si>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</si>
  <si>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</si>
  <si>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</si>
  <si>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</si>
  <si>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</si>
  <si>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</si>
  <si>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</si>
  <si>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</si>
  <si>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</si>
  <si>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</si>
  <si>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</si>
  <si>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</si>
  <si>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</si>
  <si>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</si>
  <si>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</si>
  <si>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</si>
  <si>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</si>
  <si>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</si>
  <si>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</si>
  <si>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</si>
  <si>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</si>
  <si>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</si>
  <si>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</si>
  <si>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</si>
  <si>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</si>
  <si>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</si>
  <si>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</si>
  <si>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</si>
  <si>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</si>
  <si>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</si>
  <si>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</si>
  <si>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</si>
  <si>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</si>
  <si>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</si>
  <si>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</si>
  <si>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</si>
  <si>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</si>
  <si>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</si>
  <si>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</si>
  <si>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</si>
  <si>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</si>
  <si>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</si>
  <si>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</si>
  <si>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</si>
  <si>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</si>
  <si>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</si>
  <si>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</si>
  <si>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</si>
  <si>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</si>
  <si>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</si>
  <si>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</si>
  <si>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</si>
  <si>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</si>
  <si>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</si>
  <si>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</si>
  <si>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</si>
  <si>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</si>
  <si>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</si>
  <si>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</si>
  <si>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</si>
  <si>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</si>
  <si>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</si>
  <si>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</si>
  <si>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</si>
  <si>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</si>
  <si>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</si>
  <si>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</si>
  <si>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</si>
  <si>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</si>
  <si>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</si>
  <si>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</si>
  <si>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</si>
  <si>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</si>
  <si>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</si>
  <si>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</si>
  <si>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</si>
  <si>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</si>
  <si>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</si>
  <si>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</si>
  <si>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</si>
  <si>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</si>
  <si>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</si>
  <si>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</si>
  <si>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</si>
  <si>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</si>
  <si>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</si>
  <si>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</si>
  <si>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</si>
  <si>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</si>
  <si>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</si>
  <si>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</si>
  <si>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</si>
  <si>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</si>
  <si>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</si>
  <si>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</si>
  <si>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</si>
  <si>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</si>
  <si>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</si>
  <si>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</si>
  <si>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</si>
  <si>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</si>
  <si>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</si>
  <si>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</si>
  <si>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</si>
  <si>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</si>
  <si>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</si>
  <si>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</si>
  <si>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</si>
  <si>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</si>
  <si>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</si>
  <si>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</si>
  <si>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</si>
  <si>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</si>
  <si>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</si>
  <si>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</si>
  <si>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</si>
  <si>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</si>
  <si>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</si>
  <si>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</si>
  <si>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</si>
  <si>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</si>
  <si>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</si>
  <si>
    <t>ChemistryTest.Run</t>
  </si>
  <si>
    <t>DigitTest.Run</t>
  </si>
  <si>
    <t>LinearRegressionTest.Run</t>
  </si>
  <si>
    <t>LinearRegressionTest.OutputBenchResults</t>
  </si>
  <si>
    <t>LinearRegressionTest.InterpolateMolecularWeight</t>
  </si>
  <si>
    <t>LinearRegressionTest.OutputYExtrapolation</t>
  </si>
  <si>
    <t>LinearRegressionTest.OutputRegression</t>
  </si>
  <si>
    <t>MatrixTest.OutputExample89</t>
  </si>
  <si>
    <t>NormalLawTest.OutputNormalIntegral(double…</t>
  </si>
  <si>
    <t>NormalLawTest.OutputNormalIntegral(Decimal…</t>
  </si>
  <si>
    <t>NormalLawTest.OutputNormalIntegral&lt;T&gt;</t>
  </si>
  <si>
    <t>NormalLawTest.BeginOutputNormalIntegral</t>
  </si>
  <si>
    <t>NormalLawTest.EndOutputNormalIntegral</t>
  </si>
  <si>
    <t>NormalLawTest.FindBestIterationCountForNormalLawIntegral(…double…</t>
  </si>
  <si>
    <t>Iterations</t>
  </si>
  <si>
    <t>Before</t>
  </si>
  <si>
    <t>After</t>
  </si>
  <si>
    <t>Relative</t>
  </si>
  <si>
    <t>NormalLawTest.FindBestIterationCountForNormalLawIntegral(…Decimal…</t>
  </si>
  <si>
    <t>NormalLawTest.FindMacLaurinBreakpointForNormalLawIntegral</t>
  </si>
  <si>
    <t>NormalLawTest.OutputProbitEstimate</t>
  </si>
  <si>
    <t>NormalLawTest.LogisticModel</t>
  </si>
  <si>
    <t>NormalLawTest.EvaluateLogisticModel</t>
  </si>
  <si>
    <t>Program.RunSingleDemo</t>
  </si>
  <si>
    <t>VectorTest.Run</t>
  </si>
  <si>
    <t>VectorTest.ShowcaseExample69</t>
  </si>
  <si>
    <t>VectorTest.Example69Console</t>
  </si>
  <si>
    <t>Matrix.op_Addition</t>
  </si>
  <si>
    <t>Matrix.op_Subtraction</t>
  </si>
  <si>
    <t>Matrix.op_Multiply(Matrix&lt;T&gt;</t>
  </si>
  <si>
    <t>EnzymeKinematic.ToString()</t>
  </si>
  <si>
    <t>CalculusTest.TestMathAnalog(double…</t>
  </si>
  <si>
    <t>MatrixDimensionsMismatch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</si>
</sst>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6" fillId="0" borderId="0" xfId="0" applyFont="1" applyAlignment="1">
      <alignment wrapText="1"/>
    </xf>
    <xf numFmtId="0" fontId="0" fillId="0" borderId="0" xfId="1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>
      <c r="A1" s="1"/>
      <c r="B1" s="9" t="s">
        <v>6</v>
      </c>
      <c r="C1" s="9"/>
      <c r="D1" s="9"/>
      <c r="E1" s="9" t="s">
        <v>25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"/>
  <cols>
    <col min="1" max="1" width="28" customWidth="1"/>
    <col min="2" max="2" width="12.5703125" customWidth="1"/>
    <col min="3" max="3" width="5.710937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"/>
  <cols>
    <col min="1" max="1" width="29.5703125" customWidth="1"/>
    <col min="2" max="2" width="16.140625" customWidth="1"/>
    <col min="3" max="4" width="4.28515625" customWidth="1"/>
    <col min="5" max="5" width="4" bestFit="1" customWidth="1"/>
    <col min="6" max="6" width="4.285156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>
      <c r="D1" s="9" t="s">
        <v>6</v>
      </c>
      <c r="E1" s="9"/>
      <c r="F1" s="9"/>
      <c r="G1" s="9" t="s">
        <v>25</v>
      </c>
      <c r="H1" s="9"/>
      <c r="I1" s="9"/>
      <c r="J1" s="9" t="s">
        <v>44</v>
      </c>
      <c r="K1" s="9"/>
      <c r="L1" s="9"/>
      <c r="M1" s="9" t="s">
        <v>46</v>
      </c>
      <c r="N1" s="9"/>
      <c r="O1" s="9"/>
      <c r="P1" s="9" t="s">
        <v>47</v>
      </c>
      <c r="Q1" s="9"/>
      <c r="R1" s="9"/>
      <c r="S1" s="9" t="s">
        <v>101</v>
      </c>
      <c r="T1" s="9"/>
      <c r="U1" s="9"/>
      <c r="V1" s="9" t="s">
        <v>108</v>
      </c>
      <c r="W1" s="9"/>
      <c r="X1" s="9"/>
      <c r="Y1" s="9" t="s">
        <v>111</v>
      </c>
      <c r="Z1" s="9"/>
      <c r="AA1" s="9"/>
      <c r="AB1" s="9" t="s">
        <v>112</v>
      </c>
      <c r="AC1" s="9"/>
      <c r="AD1" s="9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11" t="s">
        <v>40</v>
      </c>
      <c r="B3" s="10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11"/>
      <c r="B4" s="10"/>
      <c r="C4" t="s">
        <v>113</v>
      </c>
      <c r="AB4">
        <v>41</v>
      </c>
      <c r="AC4">
        <v>3</v>
      </c>
      <c r="AD4">
        <v>3</v>
      </c>
    </row>
    <row r="5" spans="1:30">
      <c r="A5" s="11"/>
      <c r="B5" s="10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11"/>
      <c r="B6" s="10"/>
      <c r="C6" t="s">
        <v>114</v>
      </c>
      <c r="AB6">
        <v>41</v>
      </c>
      <c r="AC6">
        <v>3</v>
      </c>
      <c r="AD6">
        <v>3</v>
      </c>
    </row>
    <row r="7" spans="1:30">
      <c r="A7" s="11"/>
      <c r="B7" s="5" t="s">
        <v>115</v>
      </c>
      <c r="AB7">
        <v>57</v>
      </c>
      <c r="AC7">
        <v>3</v>
      </c>
      <c r="AD7">
        <v>2</v>
      </c>
    </row>
    <row r="8" spans="1:30">
      <c r="A8" s="11"/>
      <c r="B8" s="10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11"/>
      <c r="B9" s="10"/>
      <c r="C9" t="s">
        <v>118</v>
      </c>
      <c r="AB9">
        <v>98</v>
      </c>
      <c r="AC9">
        <v>3</v>
      </c>
      <c r="AD9">
        <v>4</v>
      </c>
    </row>
    <row r="10" spans="1:30">
      <c r="A10" s="11"/>
      <c r="B10" s="10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11"/>
      <c r="B11" s="10"/>
      <c r="C11" t="s">
        <v>114</v>
      </c>
      <c r="AB11">
        <v>70</v>
      </c>
      <c r="AC11">
        <v>4</v>
      </c>
      <c r="AD11">
        <v>3</v>
      </c>
    </row>
    <row r="12" spans="1:30">
      <c r="A12" s="11" t="s">
        <v>45</v>
      </c>
      <c r="B12" s="10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11"/>
      <c r="B13" s="10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11"/>
      <c r="B14" s="10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11"/>
      <c r="B15" s="10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11"/>
      <c r="B16" s="10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11"/>
      <c r="B17" s="10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11"/>
      <c r="B18" s="10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11"/>
      <c r="B19" s="10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B8:B9"/>
    <mergeCell ref="B10:B11"/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>
      <c r="A1" s="1"/>
      <c r="B1" s="9" t="s">
        <v>48</v>
      </c>
      <c r="C1" s="9"/>
      <c r="D1" s="9"/>
      <c r="E1" s="9" t="s">
        <v>49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>
      <c r="A1" s="1"/>
      <c r="B1" s="9" t="s">
        <v>69</v>
      </c>
      <c r="C1" s="9"/>
      <c r="D1" s="9"/>
      <c r="E1" s="9" t="s">
        <v>72</v>
      </c>
      <c r="F1" s="9"/>
      <c r="G1" s="9"/>
      <c r="H1" s="9" t="s">
        <v>73</v>
      </c>
      <c r="I1" s="9"/>
      <c r="J1" s="9"/>
      <c r="K1" s="9" t="s">
        <v>74</v>
      </c>
      <c r="L1" s="9"/>
      <c r="M1" s="9"/>
      <c r="N1" s="9" t="s">
        <v>75</v>
      </c>
      <c r="O1" s="9"/>
      <c r="P1" s="9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>
      <c r="A1" s="1"/>
      <c r="B1" s="9" t="s">
        <v>77</v>
      </c>
      <c r="C1" s="9"/>
      <c r="D1" s="9"/>
      <c r="E1" s="9" t="s">
        <v>69</v>
      </c>
      <c r="F1" s="9"/>
      <c r="G1" s="9"/>
      <c r="H1" s="9" t="s">
        <v>72</v>
      </c>
      <c r="I1" s="9"/>
      <c r="J1" s="9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G12" sqref="AG12"/>
    </sheetView>
  </sheetViews>
  <sheetFormatPr baseColWidth="10" defaultRowHeight="16"/>
  <cols>
    <col min="1" max="1" width="20" bestFit="1" customWidth="1"/>
    <col min="2" max="2" width="42.85546875" bestFit="1" customWidth="1"/>
    <col min="3" max="3" width="4.140625" bestFit="1" customWidth="1"/>
    <col min="4" max="4" width="4.7109375" bestFit="1" customWidth="1"/>
    <col min="5" max="5" width="5.140625" bestFit="1" customWidth="1"/>
    <col min="6" max="6" width="5.7109375" bestFit="1" customWidth="1"/>
    <col min="7" max="7" width="4.140625" bestFit="1" customWidth="1"/>
    <col min="8" max="8" width="4.7109375" bestFit="1" customWidth="1"/>
    <col min="9" max="9" width="5.140625" bestFit="1" customWidth="1"/>
    <col min="10" max="10" width="5.7109375" bestFit="1" customWidth="1"/>
    <col min="11" max="11" width="4.140625" bestFit="1" customWidth="1"/>
    <col min="12" max="13" width="5.140625" bestFit="1" customWidth="1"/>
    <col min="14" max="14" width="5.7109375" bestFit="1" customWidth="1"/>
    <col min="15" max="15" width="4.140625" bestFit="1" customWidth="1"/>
    <col min="16" max="17" width="5.140625" bestFit="1" customWidth="1"/>
    <col min="18" max="18" width="5.7109375" bestFit="1" customWidth="1"/>
    <col min="19" max="19" width="4.140625" bestFit="1" customWidth="1"/>
    <col min="20" max="20" width="4.7109375" bestFit="1" customWidth="1"/>
    <col min="21" max="21" width="5.140625" bestFit="1" customWidth="1"/>
    <col min="22" max="22" width="5.7109375" bestFit="1" customWidth="1"/>
    <col min="23" max="23" width="4.140625" bestFit="1" customWidth="1"/>
    <col min="24" max="24" width="5" bestFit="1" customWidth="1"/>
    <col min="25" max="25" width="5.140625" bestFit="1" customWidth="1"/>
    <col min="26" max="26" width="5.7109375" bestFit="1" customWidth="1"/>
    <col min="27" max="27" width="4.140625" bestFit="1" customWidth="1"/>
    <col min="28" max="28" width="4.7109375" bestFit="1" customWidth="1"/>
    <col min="29" max="29" width="5.140625" bestFit="1" customWidth="1"/>
    <col min="30" max="30" width="5.7109375" bestFit="1" customWidth="1"/>
    <col min="31" max="31" width="4.140625" bestFit="1" customWidth="1"/>
    <col min="32" max="32" width="4.7109375" bestFit="1" customWidth="1"/>
    <col min="33" max="33" width="5.140625" bestFit="1" customWidth="1"/>
    <col min="34" max="34" width="5.7109375" bestFit="1" customWidth="1"/>
  </cols>
  <sheetData>
    <row r="1" spans="1:34" s="1" customFormat="1">
      <c r="C1" s="9" t="s">
        <v>69</v>
      </c>
      <c r="D1" s="9"/>
      <c r="E1" s="9"/>
      <c r="F1" s="9"/>
      <c r="G1" s="9" t="s">
        <v>72</v>
      </c>
      <c r="H1" s="9"/>
      <c r="I1" s="9"/>
      <c r="J1" s="9"/>
      <c r="K1" s="9" t="s">
        <v>73</v>
      </c>
      <c r="L1" s="9"/>
      <c r="M1" s="9"/>
      <c r="N1" s="9"/>
      <c r="O1" s="9" t="s">
        <v>74</v>
      </c>
      <c r="P1" s="9"/>
      <c r="Q1" s="9"/>
      <c r="R1" s="9"/>
      <c r="S1" s="9" t="s">
        <v>75</v>
      </c>
      <c r="T1" s="9"/>
      <c r="U1" s="9"/>
      <c r="V1" s="9"/>
      <c r="W1" s="9" t="s">
        <v>127</v>
      </c>
      <c r="X1" s="9"/>
      <c r="Y1" s="9"/>
      <c r="Z1" s="9"/>
      <c r="AA1" s="9" t="s">
        <v>128</v>
      </c>
      <c r="AB1" s="9"/>
      <c r="AC1" s="9"/>
      <c r="AD1" s="9"/>
      <c r="AE1" s="9" t="s">
        <v>129</v>
      </c>
      <c r="AF1" s="9"/>
      <c r="AG1" s="9"/>
      <c r="AH1" s="9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36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36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8517-AE04-3E4E-B5BB-4C5D322F3AE8}">
  <dimension ref="A1:K24"/>
  <sheetViews>
    <sheetView zoomScale="158" zoomScaleNormal="158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J24" sqref="J2:J24"/>
    </sheetView>
  </sheetViews>
  <sheetFormatPr baseColWidth="10" defaultRowHeight="16"/>
  <cols>
    <col min="1" max="1" width="54" customWidth="1"/>
    <col min="2" max="4" width="6" bestFit="1" customWidth="1"/>
    <col min="5" max="6" width="5" bestFit="1" customWidth="1"/>
    <col min="7" max="7" width="5" customWidth="1"/>
    <col min="8" max="9" width="6" bestFit="1" customWidth="1"/>
    <col min="10" max="10" width="4.85546875" bestFit="1" customWidth="1"/>
    <col min="11" max="11" width="6.7109375" bestFit="1" customWidth="1"/>
  </cols>
  <sheetData>
    <row r="1" spans="1:11" s="1" customFormat="1">
      <c r="A1" s="1" t="s">
        <v>76</v>
      </c>
      <c r="B1" s="9" t="s">
        <v>145</v>
      </c>
      <c r="C1" s="9"/>
      <c r="D1" s="9"/>
      <c r="E1" s="9"/>
      <c r="F1" s="9"/>
      <c r="H1" s="1" t="s">
        <v>146</v>
      </c>
      <c r="I1" s="1" t="s">
        <v>147</v>
      </c>
      <c r="J1" s="1" t="s">
        <v>27</v>
      </c>
      <c r="K1" s="1" t="s">
        <v>148</v>
      </c>
    </row>
    <row r="2" spans="1:11">
      <c r="A2" t="s">
        <v>131</v>
      </c>
      <c r="B2">
        <v>3023</v>
      </c>
      <c r="C2">
        <v>3009</v>
      </c>
      <c r="D2">
        <v>2997</v>
      </c>
      <c r="E2">
        <v>2949</v>
      </c>
      <c r="F2">
        <v>2903</v>
      </c>
      <c r="H2">
        <f t="shared" ref="H2:H24" si="0">B2</f>
        <v>3023</v>
      </c>
      <c r="I2">
        <f>MIN(C2:F2)</f>
        <v>2903</v>
      </c>
      <c r="J2" s="8">
        <f t="shared" ref="J2:J10" si="1">I2-H2</f>
        <v>-120</v>
      </c>
      <c r="K2" s="6">
        <f>J2/H2</f>
        <v>-3.9695666556400923E-2</v>
      </c>
    </row>
    <row r="3" spans="1:11">
      <c r="A3" t="s">
        <v>132</v>
      </c>
      <c r="B3">
        <v>1413</v>
      </c>
      <c r="C3">
        <v>1389</v>
      </c>
      <c r="D3">
        <v>1367</v>
      </c>
      <c r="E3">
        <v>1364</v>
      </c>
      <c r="H3">
        <f t="shared" si="0"/>
        <v>1413</v>
      </c>
      <c r="I3">
        <f t="shared" ref="I3:I9" si="2">MIN(C3:F3)</f>
        <v>1364</v>
      </c>
      <c r="J3" s="8">
        <f t="shared" si="1"/>
        <v>-49</v>
      </c>
      <c r="K3" s="6">
        <f t="shared" ref="K3:K4" si="3">J3/H3</f>
        <v>-3.4677990092002828E-2</v>
      </c>
    </row>
    <row r="4" spans="1:11">
      <c r="A4" t="s">
        <v>133</v>
      </c>
      <c r="B4">
        <v>10094</v>
      </c>
      <c r="C4">
        <v>10056</v>
      </c>
      <c r="D4">
        <v>10025</v>
      </c>
      <c r="H4">
        <f t="shared" si="0"/>
        <v>10094</v>
      </c>
      <c r="I4">
        <f t="shared" si="2"/>
        <v>10025</v>
      </c>
      <c r="J4" s="8">
        <f t="shared" si="1"/>
        <v>-69</v>
      </c>
      <c r="K4" s="6">
        <f t="shared" si="3"/>
        <v>-6.8357440063403999E-3</v>
      </c>
    </row>
    <row r="5" spans="1:11">
      <c r="A5" t="s">
        <v>134</v>
      </c>
      <c r="B5">
        <v>74</v>
      </c>
      <c r="C5">
        <v>69</v>
      </c>
      <c r="H5">
        <f t="shared" si="0"/>
        <v>74</v>
      </c>
      <c r="I5">
        <f t="shared" si="2"/>
        <v>69</v>
      </c>
      <c r="J5" s="8">
        <f t="shared" si="1"/>
        <v>-5</v>
      </c>
      <c r="K5" s="6">
        <f t="shared" ref="K5:K10" si="4">J5/H5</f>
        <v>-6.7567567567567571E-2</v>
      </c>
    </row>
    <row r="6" spans="1:11">
      <c r="A6" t="s">
        <v>135</v>
      </c>
      <c r="B6">
        <v>142</v>
      </c>
      <c r="C6">
        <v>125</v>
      </c>
      <c r="H6">
        <f t="shared" si="0"/>
        <v>142</v>
      </c>
      <c r="I6">
        <f t="shared" si="2"/>
        <v>125</v>
      </c>
      <c r="J6" s="8">
        <f t="shared" si="1"/>
        <v>-17</v>
      </c>
      <c r="K6" s="6">
        <f t="shared" si="4"/>
        <v>-0.11971830985915492</v>
      </c>
    </row>
    <row r="7" spans="1:11">
      <c r="A7" t="s">
        <v>136</v>
      </c>
      <c r="B7">
        <v>146</v>
      </c>
      <c r="C7">
        <v>133</v>
      </c>
      <c r="H7">
        <f t="shared" si="0"/>
        <v>146</v>
      </c>
      <c r="I7">
        <f t="shared" si="2"/>
        <v>133</v>
      </c>
      <c r="J7" s="8">
        <f t="shared" si="1"/>
        <v>-13</v>
      </c>
      <c r="K7" s="6">
        <f t="shared" si="4"/>
        <v>-8.9041095890410954E-2</v>
      </c>
    </row>
    <row r="8" spans="1:11">
      <c r="A8" t="s">
        <v>137</v>
      </c>
      <c r="B8">
        <v>85</v>
      </c>
      <c r="C8">
        <v>71</v>
      </c>
      <c r="H8">
        <f t="shared" si="0"/>
        <v>85</v>
      </c>
      <c r="I8">
        <f t="shared" si="2"/>
        <v>71</v>
      </c>
      <c r="J8" s="8">
        <f t="shared" si="1"/>
        <v>-14</v>
      </c>
      <c r="K8" s="6">
        <f t="shared" si="4"/>
        <v>-0.16470588235294117</v>
      </c>
    </row>
    <row r="9" spans="1:11">
      <c r="A9" t="s">
        <v>138</v>
      </c>
      <c r="B9">
        <v>106</v>
      </c>
      <c r="C9">
        <v>102</v>
      </c>
      <c r="H9">
        <f t="shared" si="0"/>
        <v>106</v>
      </c>
      <c r="I9">
        <f t="shared" si="2"/>
        <v>102</v>
      </c>
      <c r="J9" s="8">
        <f t="shared" si="1"/>
        <v>-4</v>
      </c>
      <c r="K9" s="6">
        <f t="shared" si="4"/>
        <v>-3.7735849056603772E-2</v>
      </c>
    </row>
    <row r="10" spans="1:11">
      <c r="A10" t="s">
        <v>139</v>
      </c>
      <c r="B10">
        <v>121</v>
      </c>
      <c r="C10">
        <v>114</v>
      </c>
      <c r="D10">
        <v>40</v>
      </c>
      <c r="E10">
        <v>60</v>
      </c>
      <c r="H10">
        <f t="shared" si="0"/>
        <v>121</v>
      </c>
      <c r="I10">
        <f>E10</f>
        <v>60</v>
      </c>
      <c r="J10" s="8">
        <f t="shared" si="1"/>
        <v>-61</v>
      </c>
      <c r="K10" s="6">
        <f t="shared" si="4"/>
        <v>-0.50413223140495866</v>
      </c>
    </row>
    <row r="11" spans="1:11">
      <c r="A11" t="s">
        <v>140</v>
      </c>
      <c r="B11">
        <v>104</v>
      </c>
      <c r="C11">
        <v>97</v>
      </c>
      <c r="D11">
        <v>20</v>
      </c>
      <c r="E11">
        <v>38</v>
      </c>
      <c r="H11">
        <f t="shared" si="0"/>
        <v>104</v>
      </c>
      <c r="I11">
        <f t="shared" ref="I11:I14" si="5">E11</f>
        <v>38</v>
      </c>
      <c r="J11" s="8">
        <f t="shared" ref="J11:J14" si="6">I11-H11</f>
        <v>-66</v>
      </c>
      <c r="K11" s="6">
        <f t="shared" ref="K11:K14" si="7">J11/H11</f>
        <v>-0.63461538461538458</v>
      </c>
    </row>
    <row r="12" spans="1:11">
      <c r="A12" t="s">
        <v>141</v>
      </c>
      <c r="B12">
        <v>0</v>
      </c>
      <c r="D12">
        <v>125</v>
      </c>
      <c r="E12">
        <v>0</v>
      </c>
      <c r="H12">
        <f t="shared" si="0"/>
        <v>0</v>
      </c>
      <c r="I12">
        <f t="shared" si="5"/>
        <v>0</v>
      </c>
      <c r="J12" s="8">
        <f t="shared" si="6"/>
        <v>0</v>
      </c>
      <c r="K12" s="6" t="e">
        <f t="shared" si="7"/>
        <v>#DIV/0!</v>
      </c>
    </row>
    <row r="13" spans="1:11">
      <c r="A13" t="s">
        <v>142</v>
      </c>
      <c r="B13">
        <v>0</v>
      </c>
      <c r="E13">
        <v>54</v>
      </c>
      <c r="H13">
        <f t="shared" si="0"/>
        <v>0</v>
      </c>
      <c r="I13">
        <f t="shared" si="5"/>
        <v>54</v>
      </c>
      <c r="J13" s="8">
        <f t="shared" si="6"/>
        <v>54</v>
      </c>
      <c r="K13" s="6" t="e">
        <f t="shared" si="7"/>
        <v>#DIV/0!</v>
      </c>
    </row>
    <row r="14" spans="1:11">
      <c r="A14" t="s">
        <v>143</v>
      </c>
      <c r="B14">
        <v>0</v>
      </c>
      <c r="E14">
        <v>24</v>
      </c>
      <c r="H14">
        <f t="shared" si="0"/>
        <v>0</v>
      </c>
      <c r="I14">
        <f t="shared" si="5"/>
        <v>24</v>
      </c>
      <c r="J14" s="8">
        <f t="shared" si="6"/>
        <v>24</v>
      </c>
      <c r="K14" s="6" t="e">
        <f t="shared" si="7"/>
        <v>#DIV/0!</v>
      </c>
    </row>
    <row r="15" spans="1:11">
      <c r="A15" t="s">
        <v>144</v>
      </c>
      <c r="B15">
        <v>518</v>
      </c>
      <c r="C15">
        <v>507</v>
      </c>
      <c r="H15">
        <f t="shared" si="0"/>
        <v>518</v>
      </c>
      <c r="I15">
        <f t="shared" ref="I15:I16" si="8">MIN(C15:F15)</f>
        <v>507</v>
      </c>
      <c r="J15" s="8">
        <f t="shared" ref="J15:J16" si="9">I15-H15</f>
        <v>-11</v>
      </c>
      <c r="K15" s="6">
        <f t="shared" ref="K15:K16" si="10">J15/H15</f>
        <v>-2.1235521235521235E-2</v>
      </c>
    </row>
    <row r="16" spans="1:11">
      <c r="A16" t="s">
        <v>149</v>
      </c>
      <c r="B16">
        <v>871</v>
      </c>
      <c r="C16">
        <v>855</v>
      </c>
      <c r="H16">
        <f t="shared" si="0"/>
        <v>871</v>
      </c>
      <c r="I16">
        <f t="shared" si="8"/>
        <v>855</v>
      </c>
      <c r="J16" s="8">
        <f t="shared" si="9"/>
        <v>-16</v>
      </c>
      <c r="K16" s="6">
        <f t="shared" si="10"/>
        <v>-1.8369690011481057E-2</v>
      </c>
    </row>
    <row r="17" spans="1:11">
      <c r="A17" t="s">
        <v>150</v>
      </c>
      <c r="B17">
        <v>358</v>
      </c>
      <c r="C17">
        <v>344</v>
      </c>
      <c r="H17">
        <f t="shared" si="0"/>
        <v>358</v>
      </c>
      <c r="I17">
        <f t="shared" ref="I17" si="11">MIN(C17:F17)</f>
        <v>344</v>
      </c>
      <c r="J17" s="8">
        <f t="shared" ref="J17" si="12">I17-H17</f>
        <v>-14</v>
      </c>
      <c r="K17" s="6">
        <f t="shared" ref="K17" si="13">J17/H17</f>
        <v>-3.9106145251396648E-2</v>
      </c>
    </row>
    <row r="18" spans="1:11">
      <c r="A18" t="s">
        <v>151</v>
      </c>
      <c r="B18">
        <v>161</v>
      </c>
      <c r="C18">
        <v>147</v>
      </c>
      <c r="H18">
        <f t="shared" si="0"/>
        <v>161</v>
      </c>
      <c r="I18">
        <f t="shared" ref="I18:I19" si="14">MIN(C18:F18)</f>
        <v>147</v>
      </c>
      <c r="J18" s="8">
        <f t="shared" ref="J18:J19" si="15">I18-H18</f>
        <v>-14</v>
      </c>
      <c r="K18" s="6">
        <f t="shared" ref="K18:K19" si="16">J18/H18</f>
        <v>-8.6956521739130432E-2</v>
      </c>
    </row>
    <row r="19" spans="1:11">
      <c r="A19" t="s">
        <v>152</v>
      </c>
      <c r="B19">
        <v>982</v>
      </c>
      <c r="C19">
        <v>977</v>
      </c>
      <c r="D19">
        <v>967</v>
      </c>
      <c r="E19">
        <v>951</v>
      </c>
      <c r="F19">
        <v>479</v>
      </c>
      <c r="H19">
        <f t="shared" si="0"/>
        <v>982</v>
      </c>
      <c r="I19">
        <f t="shared" si="14"/>
        <v>479</v>
      </c>
      <c r="J19" s="8">
        <f t="shared" si="15"/>
        <v>-503</v>
      </c>
      <c r="K19" s="6">
        <f t="shared" si="16"/>
        <v>-0.51221995926680242</v>
      </c>
    </row>
    <row r="20" spans="1:11">
      <c r="A20" t="s">
        <v>153</v>
      </c>
      <c r="B20">
        <v>0</v>
      </c>
      <c r="F20">
        <v>235</v>
      </c>
      <c r="H20">
        <f t="shared" si="0"/>
        <v>0</v>
      </c>
      <c r="I20">
        <f t="shared" ref="I20" si="17">MIN(C20:F20)</f>
        <v>235</v>
      </c>
      <c r="J20" s="8">
        <f t="shared" ref="J20" si="18">I20-H20</f>
        <v>235</v>
      </c>
      <c r="K20" s="6" t="e">
        <f t="shared" ref="K20" si="19">J20/H20</f>
        <v>#DIV/0!</v>
      </c>
    </row>
    <row r="21" spans="1:11">
      <c r="A21" t="s">
        <v>154</v>
      </c>
      <c r="B21">
        <v>245</v>
      </c>
      <c r="C21">
        <v>233</v>
      </c>
      <c r="D21">
        <v>224</v>
      </c>
      <c r="H21">
        <f t="shared" si="0"/>
        <v>245</v>
      </c>
      <c r="I21">
        <f t="shared" ref="I21" si="20">MIN(C21:F21)</f>
        <v>224</v>
      </c>
      <c r="J21" s="8">
        <f t="shared" ref="J21" si="21">I21-H21</f>
        <v>-21</v>
      </c>
      <c r="K21" s="6">
        <f t="shared" ref="K21" si="22">J21/H21</f>
        <v>-8.5714285714285715E-2</v>
      </c>
    </row>
    <row r="22" spans="1:11">
      <c r="A22" t="s">
        <v>155</v>
      </c>
      <c r="B22">
        <v>1918</v>
      </c>
      <c r="C22">
        <v>1882</v>
      </c>
      <c r="H22">
        <f t="shared" si="0"/>
        <v>1918</v>
      </c>
      <c r="I22">
        <f t="shared" ref="I22:I23" si="23">MIN(C22:F22)</f>
        <v>1882</v>
      </c>
      <c r="J22" s="8">
        <f t="shared" ref="J22:J23" si="24">I22-H22</f>
        <v>-36</v>
      </c>
      <c r="K22" s="6">
        <f t="shared" ref="K22:K23" si="25">J22/H22</f>
        <v>-1.8769551616266946E-2</v>
      </c>
    </row>
    <row r="23" spans="1:11">
      <c r="A23" t="s">
        <v>156</v>
      </c>
      <c r="B23">
        <v>183</v>
      </c>
      <c r="C23">
        <v>172</v>
      </c>
      <c r="H23">
        <f t="shared" si="0"/>
        <v>183</v>
      </c>
      <c r="I23">
        <f t="shared" si="23"/>
        <v>172</v>
      </c>
      <c r="J23" s="8">
        <f t="shared" si="24"/>
        <v>-11</v>
      </c>
      <c r="K23" s="6">
        <f t="shared" si="25"/>
        <v>-6.0109289617486336E-2</v>
      </c>
    </row>
    <row r="24" spans="1:11">
      <c r="A24" t="s">
        <v>157</v>
      </c>
      <c r="B24">
        <v>107</v>
      </c>
      <c r="C24">
        <v>94</v>
      </c>
      <c r="D24">
        <v>93</v>
      </c>
      <c r="H24">
        <f t="shared" si="0"/>
        <v>107</v>
      </c>
      <c r="I24">
        <f t="shared" ref="I24" si="26">MIN(C24:F24)</f>
        <v>93</v>
      </c>
      <c r="J24" s="8">
        <f t="shared" ref="J24" si="27">I24-H24</f>
        <v>-14</v>
      </c>
      <c r="K24" s="6">
        <f t="shared" ref="K24" si="28">J24/H24</f>
        <v>-0.13084112149532709</v>
      </c>
    </row>
  </sheetData>
  <mergeCells count="1">
    <mergeCell ref="B1:F1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DF44-9379-3942-B963-F6E0C991A132}">
  <dimension ref="A2:D7"/>
  <sheetViews>
    <sheetView tabSelected="1" zoomScale="158" zoomScaleNormal="158" workbookViewId="0">
      <selection activeCell="D2" sqref="D2"/>
    </sheetView>
  </sheetViews>
  <sheetFormatPr baseColWidth="10" defaultRowHeight="16"/>
  <cols>
    <col min="1" max="1" width="29.42578125" bestFit="1" customWidth="1"/>
    <col min="2" max="4" width="4" bestFit="1" customWidth="1"/>
  </cols>
  <sheetData>
    <row r="2" spans="1:4">
      <c r="A2" t="s">
        <v>158</v>
      </c>
      <c r="B2">
        <v>179</v>
      </c>
      <c r="C2">
        <v>175</v>
      </c>
      <c r="D2">
        <v>119</v>
      </c>
    </row>
    <row r="3" spans="1:4">
      <c r="A3" t="s">
        <v>159</v>
      </c>
      <c r="B3">
        <v>179</v>
      </c>
      <c r="C3">
        <v>175</v>
      </c>
      <c r="D3">
        <v>119</v>
      </c>
    </row>
    <row r="4" spans="1:4">
      <c r="A4" t="s">
        <v>160</v>
      </c>
      <c r="B4">
        <v>244</v>
      </c>
      <c r="C4">
        <v>243</v>
      </c>
      <c r="D4">
        <v>179</v>
      </c>
    </row>
    <row r="5" spans="1:4">
      <c r="A5" t="s">
        <v>163</v>
      </c>
      <c r="B5">
        <v>0</v>
      </c>
      <c r="C5">
        <v>0</v>
      </c>
      <c r="D5">
        <v>74</v>
      </c>
    </row>
    <row r="6" spans="1:4">
      <c r="A6" t="s">
        <v>161</v>
      </c>
      <c r="B6">
        <v>109</v>
      </c>
      <c r="C6">
        <v>107</v>
      </c>
    </row>
    <row r="7" spans="1:4">
      <c r="A7" t="s">
        <v>162</v>
      </c>
      <c r="B7">
        <v>129</v>
      </c>
      <c r="C7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  <vt:lpstr>Console.Write</vt:lpstr>
      <vt:lpstr>String.Format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2025-06-08T00:10:12Z</dcterms:modified>
</cp:coreProperties>
</file>
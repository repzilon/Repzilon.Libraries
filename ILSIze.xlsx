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D9AE3D08-21D7-EB4E-AECB-2F3590F855BC}" xr6:coauthVersionLast="47" xr6:coauthVersionMax="47" xr10:uidLastSave="{00000000-0000-0000-0000-000000000000}"/>
  <bookViews>
    <workbookView xWindow="0" yWindow="500" windowWidth="25600" windowHeight="14420" firstSheet="2" activeTab="9" xr2:uid="{E50D0282-9BF7-F541-B69F-D7AC36D41BED}"/>
  </bookViews>
  <sheets>
    <sheet name="Chemistry.cs" sheetId="1" r:id="rId1"/>
    <sheet name="EnzymeKinematic" sheetId="2" r:id="rId2"/>
    <sheet name="void OutputEnzymeKinematic" sheetId="3" r:id="rId3"/>
    <sheet name="LinearRegression.cs" sheetId="4" r:id="rId4"/>
    <sheet name="Student" sheetId="5" r:id="rId5"/>
    <sheet name="Matrix.cs" sheetId="6" r:id="rId6"/>
    <sheet name="ExtraMath_decimal.cs" sheetId="7" r:id="rId7"/>
    <sheet name="void OutputLinearRegression2" sheetId="8" r:id="rId8"/>
    <sheet name="Console.Write" sheetId="9" r:id="rId9"/>
    <sheet name="String.Forma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9" l="1"/>
  <c r="J24" i="9" s="1"/>
  <c r="K24" i="9" s="1"/>
  <c r="H24" i="9"/>
  <c r="I23" i="9"/>
  <c r="H23" i="9"/>
  <c r="I22" i="9"/>
  <c r="J22" i="9" s="1"/>
  <c r="K22" i="9" s="1"/>
  <c r="H22" i="9"/>
  <c r="I21" i="9"/>
  <c r="H21" i="9"/>
  <c r="I20" i="9"/>
  <c r="H20" i="9"/>
  <c r="I19" i="9"/>
  <c r="H19" i="9"/>
  <c r="I18" i="9"/>
  <c r="J18" i="9" s="1"/>
  <c r="K18" i="9" s="1"/>
  <c r="H18" i="9"/>
  <c r="I17" i="9"/>
  <c r="H17" i="9"/>
  <c r="I11" i="9"/>
  <c r="I12" i="9"/>
  <c r="J12" i="9" s="1"/>
  <c r="K12" i="9" s="1"/>
  <c r="I13" i="9"/>
  <c r="J13" i="9" s="1"/>
  <c r="K13" i="9" s="1"/>
  <c r="I14" i="9"/>
  <c r="J14" i="9" s="1"/>
  <c r="K14" i="9" s="1"/>
  <c r="I10" i="9"/>
  <c r="J10" i="9" s="1"/>
  <c r="K10" i="9" s="1"/>
  <c r="I15" i="9"/>
  <c r="I16" i="9"/>
  <c r="H16" i="9"/>
  <c r="H15" i="9"/>
  <c r="J15" i="9" s="1"/>
  <c r="K15" i="9" s="1"/>
  <c r="H14" i="9"/>
  <c r="H13" i="9"/>
  <c r="I3" i="9"/>
  <c r="J3" i="9" s="1"/>
  <c r="K3" i="9" s="1"/>
  <c r="I4" i="9"/>
  <c r="I5" i="9"/>
  <c r="I6" i="9"/>
  <c r="I7" i="9"/>
  <c r="J7" i="9" s="1"/>
  <c r="K7" i="9" s="1"/>
  <c r="I8" i="9"/>
  <c r="I9" i="9"/>
  <c r="I2" i="9"/>
  <c r="H12" i="9"/>
  <c r="H11" i="9"/>
  <c r="H10" i="9"/>
  <c r="H9" i="9"/>
  <c r="J9" i="9" s="1"/>
  <c r="K9" i="9" s="1"/>
  <c r="H8" i="9"/>
  <c r="H7" i="9"/>
  <c r="H6" i="9"/>
  <c r="H5" i="9"/>
  <c r="J5" i="9" s="1"/>
  <c r="K5" i="9" s="1"/>
  <c r="H4" i="9"/>
  <c r="H3" i="9"/>
  <c r="H2" i="9"/>
  <c r="J2" i="9" s="1"/>
  <c r="K2" i="9" s="1"/>
  <c r="AH9" i="8"/>
  <c r="AG9" i="8"/>
  <c r="AF9" i="8"/>
  <c r="AE9" i="8"/>
  <c r="AD9" i="8"/>
  <c r="AC9" i="8"/>
  <c r="AB9" i="8"/>
  <c r="AA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C9" i="8"/>
  <c r="P10" i="8"/>
  <c r="L10" i="8"/>
  <c r="AB20" i="4"/>
  <c r="AC20" i="4"/>
  <c r="AD20" i="4"/>
  <c r="Y20" i="4"/>
  <c r="Z20" i="4"/>
  <c r="AA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D20" i="4"/>
  <c r="J17" i="9" l="1"/>
  <c r="K17" i="9" s="1"/>
  <c r="J19" i="9"/>
  <c r="K19" i="9" s="1"/>
  <c r="J21" i="9"/>
  <c r="K21" i="9" s="1"/>
  <c r="J23" i="9"/>
  <c r="K23" i="9" s="1"/>
  <c r="J4" i="9"/>
  <c r="K4" i="9" s="1"/>
  <c r="J11" i="9"/>
  <c r="K11" i="9" s="1"/>
  <c r="J6" i="9"/>
  <c r="K6" i="9" s="1"/>
  <c r="J16" i="9"/>
  <c r="K16" i="9" s="1"/>
  <c r="J8" i="9"/>
  <c r="K8" i="9" s="1"/>
  <c r="J20" i="9"/>
  <c r="K20" i="9" s="1"/>
  <c r="H10" i="8"/>
  <c r="E35" i="7"/>
  <c r="E34" i="7"/>
  <c r="C33" i="7"/>
  <c r="D33" i="7"/>
  <c r="E33" i="7"/>
  <c r="F33" i="7"/>
  <c r="G33" i="7"/>
  <c r="B33" i="7"/>
  <c r="C22" i="7"/>
  <c r="D22" i="7"/>
  <c r="E22" i="7"/>
  <c r="F22" i="7"/>
  <c r="G22" i="7"/>
  <c r="H22" i="7"/>
  <c r="I22" i="7"/>
  <c r="J22" i="7"/>
  <c r="B22" i="7"/>
  <c r="N7" i="6"/>
  <c r="N6" i="6"/>
  <c r="N5" i="6"/>
  <c r="O5" i="6"/>
  <c r="P5" i="6"/>
  <c r="K5" i="6"/>
  <c r="L5" i="6"/>
  <c r="M5" i="6"/>
  <c r="H5" i="6"/>
  <c r="I5" i="6"/>
  <c r="J5" i="6"/>
  <c r="E5" i="6"/>
  <c r="F5" i="6"/>
  <c r="G5" i="6"/>
  <c r="C5" i="6"/>
  <c r="D5" i="6"/>
  <c r="B5" i="6"/>
  <c r="E20" i="5"/>
  <c r="E19" i="5"/>
  <c r="C18" i="5"/>
  <c r="D18" i="5"/>
  <c r="E18" i="5"/>
  <c r="F18" i="5"/>
  <c r="G18" i="5"/>
  <c r="B18" i="5"/>
  <c r="F8" i="3"/>
  <c r="C9" i="3"/>
  <c r="D9" i="3"/>
  <c r="E9" i="3"/>
  <c r="F9" i="3"/>
  <c r="D8" i="3"/>
  <c r="E8" i="3"/>
  <c r="C8" i="3"/>
  <c r="C5" i="2"/>
  <c r="C4" i="2"/>
  <c r="C6" i="2"/>
  <c r="C3" i="2"/>
  <c r="E8" i="1"/>
  <c r="G12" i="1"/>
  <c r="F12" i="1"/>
  <c r="E12" i="1"/>
  <c r="E13" i="1" s="1"/>
  <c r="C12" i="1"/>
  <c r="D12" i="1"/>
  <c r="B12" i="1"/>
  <c r="P21" i="4" l="1"/>
  <c r="P22" i="4" s="1"/>
</calcChain>
</file>

<file path=xl/sharedStrings.xml><?xml version="1.0" encoding="utf-8"?>
<sst xmlns="http://schemas.openxmlformats.org/spreadsheetml/2006/main" count="286" uniqueCount="163">
  <si>
    <t>Méthode</t>
  </si>
  <si>
    <t>IL</t>
  </si>
  <si>
    <t>stack</t>
  </si>
  <si>
    <t>locals</t>
  </si>
  <si>
    <t>AminoAcidIsoelectric(r4,r4,u1,r4)</t>
  </si>
  <si>
    <t>AminoAcidIsoelectric(r4,r4)</t>
  </si>
  <si>
    <t>Itération 1</t>
  </si>
  <si>
    <t>CoreElementComposition</t>
  </si>
  <si>
    <t>CoreMolarMass</t>
  </si>
  <si>
    <t>ElementComposition</t>
  </si>
  <si>
    <t>InitElementMasses</t>
  </si>
  <si>
    <t>MatchChemicalGroups</t>
  </si>
  <si>
    <t>MolarMass</t>
  </si>
  <si>
    <t>RemoveChemicalGroups</t>
  </si>
  <si>
    <t>ToString()</t>
  </si>
  <si>
    <t>EnzymeKinematic</t>
  </si>
  <si>
    <t>ToString(,)</t>
  </si>
  <si>
    <t>LinearRegressionResult</t>
  </si>
  <si>
    <t>ChangeModel</t>
  </si>
  <si>
    <t>DecimalLinearRegressionResult</t>
  </si>
  <si>
    <t>EnzymeKinematicExtension</t>
  </si>
  <si>
    <t>*</t>
  </si>
  <si>
    <t>ESR, bool, PointD[]</t>
  </si>
  <si>
    <t>string</t>
  </si>
  <si>
    <t>ESR, bool, PointM[]</t>
  </si>
  <si>
    <t>Itération 2</t>
  </si>
  <si>
    <t>Structure/Module</t>
  </si>
  <si>
    <t>Delta</t>
  </si>
  <si>
    <t>№1</t>
  </si>
  <si>
    <t>№2</t>
  </si>
  <si>
    <t>Surcharge</t>
  </si>
  <si>
    <t>№3</t>
  </si>
  <si>
    <t>OutputEnzymeKinematic</t>
  </si>
  <si>
    <t>EK&lt;T&gt;</t>
  </si>
  <si>
    <t>OutputRoundedEnzymeKinematic</t>
  </si>
  <si>
    <t>EK&lt;double&gt;</t>
  </si>
  <si>
    <t>?</t>
  </si>
  <si>
    <t>№4</t>
  </si>
  <si>
    <t>EnzymeSpeedFloat</t>
  </si>
  <si>
    <t>Module</t>
  </si>
  <si>
    <t>RegressionModel</t>
  </si>
  <si>
    <t>Compute</t>
  </si>
  <si>
    <t>IEnumerable&lt;PointD&gt;</t>
  </si>
  <si>
    <t>IEnumerable&lt;PointM&gt;</t>
  </si>
  <si>
    <t>Itération 3</t>
  </si>
  <si>
    <t>LinearRegression</t>
  </si>
  <si>
    <t>Itération 4</t>
  </si>
  <si>
    <t>Itération 5</t>
  </si>
  <si>
    <t>Ancienne</t>
  </si>
  <si>
    <t>Nouvelle</t>
  </si>
  <si>
    <t>AddGammaFactors</t>
  </si>
  <si>
    <t>AddGammaIntegers</t>
  </si>
  <si>
    <t>AddGammaHalves</t>
  </si>
  <si>
    <t>BigProduct</t>
  </si>
  <si>
    <t>(Fast)GammaRatio</t>
  </si>
  <si>
    <t>HugeProduct</t>
  </si>
  <si>
    <t>MultiplyByFractions</t>
  </si>
  <si>
    <t>(Old)Student</t>
  </si>
  <si>
    <t>Product</t>
  </si>
  <si>
    <t>ProductOfIntegers</t>
  </si>
  <si>
    <t>Regroup</t>
  </si>
  <si>
    <t>RemoveDividableFactors</t>
  </si>
  <si>
    <t>RemoveIdenticalFactors</t>
  </si>
  <si>
    <t>SplitDividableBy</t>
  </si>
  <si>
    <t>TryMultiply</t>
  </si>
  <si>
    <t>Code</t>
  </si>
  <si>
    <t>Stack</t>
  </si>
  <si>
    <t>Locals</t>
  </si>
  <si>
    <t>Methods</t>
  </si>
  <si>
    <t>Iteration 1</t>
  </si>
  <si>
    <t>SolveDiagonally</t>
  </si>
  <si>
    <t>SolveLinkedLine</t>
  </si>
  <si>
    <t>Iteration 2</t>
  </si>
  <si>
    <t>Iteration 3</t>
  </si>
  <si>
    <t>Iteration 4</t>
  </si>
  <si>
    <t>Iteration 5</t>
  </si>
  <si>
    <t>Method</t>
  </si>
  <si>
    <t>Iteration 0</t>
  </si>
  <si>
    <t>Exp</t>
  </si>
  <si>
    <t>Pow(decimal, decimal)</t>
  </si>
  <si>
    <t>Pow(decimal, int)</t>
  </si>
  <si>
    <t>IsInteger</t>
  </si>
  <si>
    <t>Log</t>
  </si>
  <si>
    <t>Log10</t>
  </si>
  <si>
    <t>Cos</t>
  </si>
  <si>
    <t>Tan</t>
  </si>
  <si>
    <t>CalculateSinFromCos</t>
  </si>
  <si>
    <t>Sin</t>
  </si>
  <si>
    <t>TruncateToPeriodicInterval</t>
  </si>
  <si>
    <t>IsSignOfSinePositive</t>
  </si>
  <si>
    <t>Sinh</t>
  </si>
  <si>
    <t>Cosh</t>
  </si>
  <si>
    <t>Tanh</t>
  </si>
  <si>
    <t>Asin</t>
  </si>
  <si>
    <t>Atan</t>
  </si>
  <si>
    <t>Acos</t>
  </si>
  <si>
    <t>Atan2</t>
  </si>
  <si>
    <t>Sqrt</t>
  </si>
  <si>
    <t>ExpBySquaring</t>
  </si>
  <si>
    <t>GetDecimalPlaces</t>
  </si>
  <si>
    <t>Remainder</t>
  </si>
  <si>
    <t>Itération 6</t>
  </si>
  <si>
    <t>I*List&lt;PointD&gt;</t>
  </si>
  <si>
    <t>Aggregate</t>
  </si>
  <si>
    <t>FinishCompute</t>
  </si>
  <si>
    <t>I*List&lt;PointM&gt;</t>
  </si>
  <si>
    <t>📚</t>
  </si>
  <si>
    <t>📟</t>
  </si>
  <si>
    <t>Itération 7</t>
  </si>
  <si>
    <t>T is Decimal</t>
  </si>
  <si>
    <t>T is Double</t>
  </si>
  <si>
    <t>Itération 8</t>
  </si>
  <si>
    <t>Itération 9</t>
  </si>
  <si>
    <t>IList&lt;PointD&gt;</t>
  </si>
  <si>
    <t>IList&lt;PointM&gt;</t>
  </si>
  <si>
    <t>InitLists&lt;T&gt;</t>
  </si>
  <si>
    <t>AddDataPoint</t>
  </si>
  <si>
    <t>PointD</t>
  </si>
  <si>
    <t>PointM</t>
  </si>
  <si>
    <t>Overload</t>
  </si>
  <si>
    <t>OutputLinearRegression2</t>
  </si>
  <si>
    <t>Args</t>
  </si>
  <si>
    <t>OutputParameterMargin</t>
  </si>
  <si>
    <t>OutputXExtrapolation</t>
  </si>
  <si>
    <t>OutputYExtrapolation</t>
  </si>
  <si>
    <t>TRegression lrp, string numberFormat, bool checkBiases, TStorage? xForYExtrapolation, TStorage? yForXExtrapolation</t>
  </si>
  <si>
    <t>TRegression lrp, string numberFormat, bool checkBiases, CultureInfo ciCu, TStorage b, TStorage sr, TStorage studentLawValue</t>
  </si>
  <si>
    <t>Iteration 6</t>
  </si>
  <si>
    <t>Iteration 7</t>
  </si>
  <si>
    <t>Iteration 8</t>
  </si>
  <si>
    <t>Format / OutputLine</t>
  </si>
  <si>
    <t>ChemistryTest.Run</t>
  </si>
  <si>
    <t>DigitTest.Run</t>
  </si>
  <si>
    <t>LinearRegressionTest.Run</t>
  </si>
  <si>
    <t>LinearRegressionTest.OutputBenchResults</t>
  </si>
  <si>
    <t>LinearRegressionTest.InterpolateMolecularWeight</t>
  </si>
  <si>
    <t>LinearRegressionTest.OutputYExtrapolation</t>
  </si>
  <si>
    <t>LinearRegressionTest.OutputRegression</t>
  </si>
  <si>
    <t>MatrixTest.OutputExample89</t>
  </si>
  <si>
    <t>NormalLawTest.OutputNormalIntegral(double…</t>
  </si>
  <si>
    <t>NormalLawTest.OutputNormalIntegral(Decimal…</t>
  </si>
  <si>
    <t>NormalLawTest.OutputNormalIntegral&lt;T&gt;</t>
  </si>
  <si>
    <t>NormalLawTest.BeginOutputNormalIntegral</t>
  </si>
  <si>
    <t>NormalLawTest.EndOutputNormalIntegral</t>
  </si>
  <si>
    <t>NormalLawTest.FindBestIterationCountForNormalLawIntegral(…double…</t>
  </si>
  <si>
    <t>Iterations</t>
  </si>
  <si>
    <t>Before</t>
  </si>
  <si>
    <t>After</t>
  </si>
  <si>
    <t>Relative</t>
  </si>
  <si>
    <t>NormalLawTest.FindBestIterationCountForNormalLawIntegral(…Decimal…</t>
  </si>
  <si>
    <t>NormalLawTest.FindMacLaurinBreakpointForNormalLawIntegral</t>
  </si>
  <si>
    <t>NormalLawTest.OutputProbitEstimate</t>
  </si>
  <si>
    <t>NormalLawTest.LogisticModel</t>
  </si>
  <si>
    <t>NormalLawTest.EvaluateLogisticModel</t>
  </si>
  <si>
    <t>Program.RunSingleDemo</t>
  </si>
  <si>
    <t>VectorTest.Run</t>
  </si>
  <si>
    <t>VectorTest.ShowcaseExample69</t>
  </si>
  <si>
    <t>VectorTest.Example69Console</t>
  </si>
  <si>
    <t>Matrix.op_Addition</t>
  </si>
  <si>
    <t>Matrix.op_Subtraction</t>
  </si>
  <si>
    <t>Matrix.op_Multiply(Matrix&lt;T&gt;</t>
  </si>
  <si>
    <t>EnzymeKinematic.ToString()</t>
  </si>
  <si>
    <t>CalculusTest.TestMathAnalog(double…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</si>
</sst>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>
    <font>
      <sz val="12"/>
      <color theme="1"/>
      <name val="Franklin Gothic Book"/>
      <family val="2"/>
      <scheme val="minor"/>
    </font>
    <font>
      <b/>
      <sz val="12"/>
      <color theme="1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8"/>
      <name val="Franklin Gothic Book"/>
      <family val="2"/>
      <scheme val="minor"/>
    </font>
    <font>
      <sz val="12"/>
      <color rgb="FF006100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12"/>
      <color theme="1"/>
      <name val="Avenir Next Condensed Regula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2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9" fontId="0" fillId="0" borderId="0" xfId="1" applyFont="1"/>
    <xf numFmtId="0" fontId="4" fillId="2" borderId="0" xfId="2"/>
    <xf numFmtId="0" fontId="5" fillId="0" borderId="0" xfId="0" applyFont="1"/>
    <xf numFmtId="0" fontId="0" fillId="0" borderId="0" xfId="0" applyAlignment="1">
      <alignment vertical="center"/>
    </xf>
    <xf numFmtId="164" fontId="0" fillId="0" borderId="0" xfId="1" applyNumberFormat="1" applyFont="1"/>
    <xf numFmtId="0" fontId="6" fillId="0" borderId="0" xfId="0" applyFont="1" applyAlignment="1">
      <alignment wrapText="1"/>
    </xf>
    <xf numFmtId="0" fontId="0" fillId="0" borderId="0" xfId="1" applyNumberFormat="1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3">
    <cellStyle name="Normal" xfId="0" builtinId="0"/>
    <cellStyle name="Pourcentage" xfId="1" builtinId="5"/>
    <cellStyle name="Satisfaisant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Franklin Gothic">
      <a:majorFont>
        <a:latin typeface="Franklin Gothic Medium" panose="020B0603020102020204"/>
        <a:ea typeface=""/>
        <a:cs typeface=""/>
        <a:font script="Jpan" typeface="HG創英角ｺﾞｼｯｸUB"/>
        <a:font script="Hang" typeface="돋움"/>
        <a:font script="Hans" typeface="隶书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Franklin Gothic Book" panose="020B0503020102020204"/>
        <a:ea typeface=""/>
        <a:cs typeface=""/>
        <a:font script="Jpan" typeface="HGｺﾞｼｯｸE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5EFD-832C-3644-BF11-30C65FA80A90}">
  <dimension ref="A1:G13"/>
  <sheetViews>
    <sheetView zoomScale="130" zoomScaleNormal="130" workbookViewId="0">
      <selection activeCell="C11" sqref="C11"/>
    </sheetView>
  </sheetViews>
  <sheetFormatPr baseColWidth="10" defaultRowHeight="16"/>
  <cols>
    <col min="1" max="1" width="28.7109375" customWidth="1"/>
    <col min="2" max="2" width="4.28515625" customWidth="1"/>
    <col min="3" max="3" width="5.7109375" customWidth="1"/>
    <col min="4" max="4" width="6.140625" customWidth="1"/>
    <col min="5" max="5" width="5" customWidth="1"/>
    <col min="6" max="6" width="5.7109375" customWidth="1"/>
    <col min="7" max="7" width="6.140625" customWidth="1"/>
  </cols>
  <sheetData>
    <row r="1" spans="1:7">
      <c r="A1" s="1"/>
      <c r="B1" s="9" t="s">
        <v>6</v>
      </c>
      <c r="C1" s="9"/>
      <c r="D1" s="9"/>
      <c r="E1" s="9" t="s">
        <v>25</v>
      </c>
      <c r="F1" s="9"/>
      <c r="G1" s="9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4</v>
      </c>
      <c r="B3">
        <v>67</v>
      </c>
      <c r="C3">
        <v>3</v>
      </c>
      <c r="D3">
        <v>1</v>
      </c>
      <c r="E3">
        <v>67</v>
      </c>
      <c r="F3">
        <v>3</v>
      </c>
      <c r="G3">
        <v>1</v>
      </c>
    </row>
    <row r="4" spans="1:7">
      <c r="A4" t="s">
        <v>5</v>
      </c>
      <c r="B4">
        <v>15</v>
      </c>
      <c r="C4">
        <v>8</v>
      </c>
      <c r="D4">
        <v>0</v>
      </c>
      <c r="E4">
        <v>15</v>
      </c>
      <c r="F4">
        <v>8</v>
      </c>
      <c r="G4">
        <v>0</v>
      </c>
    </row>
    <row r="5" spans="1:7">
      <c r="A5" t="s">
        <v>7</v>
      </c>
      <c r="B5">
        <v>130</v>
      </c>
      <c r="C5">
        <v>5</v>
      </c>
      <c r="D5">
        <v>7</v>
      </c>
      <c r="E5">
        <v>111</v>
      </c>
      <c r="F5">
        <v>5</v>
      </c>
      <c r="G5">
        <v>7</v>
      </c>
    </row>
    <row r="6" spans="1:7">
      <c r="A6" t="s">
        <v>8</v>
      </c>
      <c r="B6">
        <v>119</v>
      </c>
      <c r="C6">
        <v>4</v>
      </c>
      <c r="D6">
        <v>7</v>
      </c>
      <c r="E6">
        <v>115</v>
      </c>
      <c r="F6">
        <v>4</v>
      </c>
      <c r="G6">
        <v>7</v>
      </c>
    </row>
    <row r="7" spans="1:7">
      <c r="A7" t="s">
        <v>9</v>
      </c>
      <c r="B7">
        <v>98</v>
      </c>
      <c r="C7">
        <v>4</v>
      </c>
      <c r="D7">
        <v>5</v>
      </c>
      <c r="E7">
        <v>98</v>
      </c>
      <c r="F7">
        <v>4</v>
      </c>
      <c r="G7">
        <v>5</v>
      </c>
    </row>
    <row r="8" spans="1:7">
      <c r="A8" t="s">
        <v>10</v>
      </c>
      <c r="B8">
        <v>315</v>
      </c>
      <c r="C8">
        <v>4</v>
      </c>
      <c r="D8">
        <v>0</v>
      </c>
      <c r="E8">
        <f>229+76</f>
        <v>305</v>
      </c>
      <c r="F8">
        <v>4</v>
      </c>
      <c r="G8">
        <v>4</v>
      </c>
    </row>
    <row r="9" spans="1:7">
      <c r="A9" t="s">
        <v>11</v>
      </c>
      <c r="B9">
        <v>42</v>
      </c>
      <c r="C9">
        <v>2</v>
      </c>
      <c r="D9">
        <v>1</v>
      </c>
      <c r="E9">
        <v>42</v>
      </c>
      <c r="F9">
        <v>2</v>
      </c>
      <c r="G9">
        <v>1</v>
      </c>
    </row>
    <row r="10" spans="1:7">
      <c r="A10" t="s">
        <v>12</v>
      </c>
      <c r="B10">
        <v>129</v>
      </c>
      <c r="C10">
        <v>4</v>
      </c>
      <c r="D10">
        <v>5</v>
      </c>
      <c r="E10">
        <v>124</v>
      </c>
      <c r="F10">
        <v>4</v>
      </c>
      <c r="G10">
        <v>5</v>
      </c>
    </row>
    <row r="11" spans="1:7">
      <c r="A11" t="s">
        <v>13</v>
      </c>
      <c r="B11">
        <v>60</v>
      </c>
      <c r="C11">
        <v>4</v>
      </c>
      <c r="D11">
        <v>3</v>
      </c>
      <c r="E11">
        <v>60</v>
      </c>
      <c r="F11">
        <v>4</v>
      </c>
      <c r="G11">
        <v>3</v>
      </c>
    </row>
    <row r="12" spans="1:7">
      <c r="B12" s="1">
        <f t="shared" ref="B12:G12" si="0">SUM(B3:B11)</f>
        <v>975</v>
      </c>
      <c r="C12" s="1">
        <f t="shared" si="0"/>
        <v>38</v>
      </c>
      <c r="D12" s="1">
        <f t="shared" si="0"/>
        <v>29</v>
      </c>
      <c r="E12" s="1">
        <f t="shared" si="0"/>
        <v>937</v>
      </c>
      <c r="F12" s="1">
        <f t="shared" si="0"/>
        <v>38</v>
      </c>
      <c r="G12" s="1">
        <f t="shared" si="0"/>
        <v>33</v>
      </c>
    </row>
    <row r="13" spans="1:7">
      <c r="E13">
        <f>E12-B12</f>
        <v>-38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0503-4F5B-E64E-832A-2C886DE2735D}">
  <dimension ref="A1:C6"/>
  <sheetViews>
    <sheetView zoomScale="130" zoomScaleNormal="130" workbookViewId="0">
      <selection sqref="A1:C1"/>
    </sheetView>
  </sheetViews>
  <sheetFormatPr baseColWidth="10" defaultRowHeight="16"/>
  <cols>
    <col min="1" max="1" width="28" customWidth="1"/>
    <col min="2" max="2" width="12.5703125" customWidth="1"/>
    <col min="3" max="3" width="5.7109375" customWidth="1"/>
  </cols>
  <sheetData>
    <row r="1" spans="1:3">
      <c r="A1" s="1" t="s">
        <v>26</v>
      </c>
      <c r="B1" s="1" t="s">
        <v>0</v>
      </c>
      <c r="C1" s="1" t="s">
        <v>27</v>
      </c>
    </row>
    <row r="2" spans="1:3">
      <c r="A2" t="s">
        <v>15</v>
      </c>
      <c r="B2" t="s">
        <v>14</v>
      </c>
      <c r="C2">
        <v>-14</v>
      </c>
    </row>
    <row r="3" spans="1:3">
      <c r="A3" t="s">
        <v>15</v>
      </c>
      <c r="B3" t="s">
        <v>16</v>
      </c>
      <c r="C3">
        <f>(50+103)-207</f>
        <v>-54</v>
      </c>
    </row>
    <row r="4" spans="1:3">
      <c r="A4" t="s">
        <v>20</v>
      </c>
      <c r="B4" t="s">
        <v>21</v>
      </c>
      <c r="C4">
        <f>6*-14</f>
        <v>-84</v>
      </c>
    </row>
    <row r="5" spans="1:3">
      <c r="A5" t="s">
        <v>17</v>
      </c>
      <c r="B5" t="s">
        <v>18</v>
      </c>
      <c r="C5">
        <f>88-108</f>
        <v>-20</v>
      </c>
    </row>
    <row r="6" spans="1:3">
      <c r="A6" t="s">
        <v>19</v>
      </c>
      <c r="B6" t="s">
        <v>18</v>
      </c>
      <c r="C6">
        <f>110-141</f>
        <v>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D056-9034-D44D-B934-446C62FAF677}">
  <dimension ref="A1:F9"/>
  <sheetViews>
    <sheetView zoomScale="130" zoomScaleNormal="130" workbookViewId="0">
      <selection activeCell="C14" sqref="C14"/>
    </sheetView>
  </sheetViews>
  <sheetFormatPr baseColWidth="10" defaultRowHeight="16"/>
  <cols>
    <col min="1" max="1" width="29.5703125" customWidth="1"/>
    <col min="2" max="2" width="16.140625" customWidth="1"/>
    <col min="3" max="4" width="4.28515625" customWidth="1"/>
    <col min="5" max="5" width="4" bestFit="1" customWidth="1"/>
    <col min="6" max="6" width="4.28515625" customWidth="1"/>
  </cols>
  <sheetData>
    <row r="1" spans="1:6">
      <c r="A1" s="1" t="s">
        <v>0</v>
      </c>
      <c r="B1" s="1" t="s">
        <v>30</v>
      </c>
      <c r="C1" s="1" t="s">
        <v>28</v>
      </c>
      <c r="D1" s="1" t="s">
        <v>29</v>
      </c>
      <c r="E1" s="1" t="s">
        <v>31</v>
      </c>
      <c r="F1" s="1" t="s">
        <v>37</v>
      </c>
    </row>
    <row r="2" spans="1:6">
      <c r="A2" t="s">
        <v>32</v>
      </c>
      <c r="B2" t="s">
        <v>22</v>
      </c>
      <c r="C2">
        <v>58</v>
      </c>
      <c r="D2">
        <v>44</v>
      </c>
      <c r="E2">
        <v>44</v>
      </c>
      <c r="F2">
        <v>38</v>
      </c>
    </row>
    <row r="3" spans="1:6">
      <c r="A3" t="s">
        <v>32</v>
      </c>
      <c r="B3" t="s">
        <v>24</v>
      </c>
      <c r="C3">
        <v>58</v>
      </c>
      <c r="D3">
        <v>44</v>
      </c>
      <c r="E3">
        <v>44</v>
      </c>
      <c r="F3">
        <v>44</v>
      </c>
    </row>
    <row r="4" spans="1:6">
      <c r="A4" t="s">
        <v>32</v>
      </c>
      <c r="B4" t="s">
        <v>23</v>
      </c>
      <c r="C4">
        <v>47</v>
      </c>
      <c r="D4">
        <v>60</v>
      </c>
    </row>
    <row r="5" spans="1:6">
      <c r="A5" t="s">
        <v>32</v>
      </c>
      <c r="B5" t="s">
        <v>33</v>
      </c>
      <c r="E5">
        <v>64</v>
      </c>
      <c r="F5">
        <v>64</v>
      </c>
    </row>
    <row r="6" spans="1:6">
      <c r="A6" t="s">
        <v>34</v>
      </c>
      <c r="B6" t="s">
        <v>35</v>
      </c>
      <c r="F6">
        <v>13</v>
      </c>
    </row>
    <row r="7" spans="1:6">
      <c r="A7" t="s">
        <v>38</v>
      </c>
      <c r="C7" t="s">
        <v>36</v>
      </c>
      <c r="D7" t="s">
        <v>36</v>
      </c>
      <c r="E7">
        <v>472</v>
      </c>
      <c r="F7">
        <v>460</v>
      </c>
    </row>
    <row r="8" spans="1:6">
      <c r="C8" s="1">
        <f>SUM(C$2:C6)</f>
        <v>163</v>
      </c>
      <c r="D8" s="1">
        <f>SUM(D$2:D6)</f>
        <v>148</v>
      </c>
      <c r="E8" s="1">
        <f>SUM(E$2:E6)</f>
        <v>152</v>
      </c>
      <c r="F8" s="1">
        <f>SUM(F$2:F7)</f>
        <v>619</v>
      </c>
    </row>
    <row r="9" spans="1:6">
      <c r="C9" s="1">
        <f>SUM(C$2:C7)</f>
        <v>163</v>
      </c>
      <c r="D9" s="1">
        <f>SUM(D$2:D7)</f>
        <v>148</v>
      </c>
      <c r="E9" s="1">
        <f>SUM(E$2:E7)</f>
        <v>624</v>
      </c>
      <c r="F9" s="1">
        <f>SUM(F$2:F7)</f>
        <v>619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DCA3-71A5-DD4D-9D0E-D63068092BC8}">
  <dimension ref="A1:AD22"/>
  <sheetViews>
    <sheetView zoomScale="130" zoomScaleNormal="130" workbookViewId="0">
      <pane xSplit="3" ySplit="2" topLeftCell="J3" activePane="bottomRight" state="frozen"/>
      <selection pane="topRight" activeCell="D1" sqref="D1"/>
      <selection pane="bottomLeft" activeCell="A3" sqref="A3"/>
      <selection pane="bottomRight" activeCell="S15" sqref="S15"/>
    </sheetView>
  </sheetViews>
  <sheetFormatPr baseColWidth="10" defaultRowHeight="16"/>
  <cols>
    <col min="1" max="1" width="13.7109375" bestFit="1" customWidth="1"/>
    <col min="2" max="2" width="12.28515625" bestFit="1" customWidth="1"/>
    <col min="3" max="3" width="17.85546875" bestFit="1" customWidth="1"/>
    <col min="4" max="5" width="5" bestFit="1" customWidth="1"/>
    <col min="6" max="6" width="5.28515625" bestFit="1" customWidth="1"/>
    <col min="7" max="7" width="5" bestFit="1" customWidth="1"/>
    <col min="8" max="9" width="3.28515625" bestFit="1" customWidth="1"/>
    <col min="10" max="10" width="5" bestFit="1" customWidth="1"/>
    <col min="11" max="12" width="3.28515625" bestFit="1" customWidth="1"/>
    <col min="13" max="13" width="5" bestFit="1" customWidth="1"/>
    <col min="14" max="15" width="3.28515625" bestFit="1" customWidth="1"/>
    <col min="16" max="16" width="5" bestFit="1" customWidth="1"/>
    <col min="17" max="18" width="3.28515625" bestFit="1" customWidth="1"/>
    <col min="19" max="19" width="5" bestFit="1" customWidth="1"/>
    <col min="20" max="21" width="3.28515625" bestFit="1" customWidth="1"/>
    <col min="22" max="22" width="5" bestFit="1" customWidth="1"/>
    <col min="23" max="24" width="3.28515625" bestFit="1" customWidth="1"/>
    <col min="25" max="25" width="5" bestFit="1" customWidth="1"/>
    <col min="26" max="27" width="3.28515625" bestFit="1" customWidth="1"/>
    <col min="28" max="28" width="5" bestFit="1" customWidth="1"/>
    <col min="29" max="29" width="4" bestFit="1" customWidth="1"/>
    <col min="30" max="30" width="3.28515625" bestFit="1" customWidth="1"/>
  </cols>
  <sheetData>
    <row r="1" spans="1:30" s="1" customFormat="1">
      <c r="D1" s="9" t="s">
        <v>6</v>
      </c>
      <c r="E1" s="9"/>
      <c r="F1" s="9"/>
      <c r="G1" s="9" t="s">
        <v>25</v>
      </c>
      <c r="H1" s="9"/>
      <c r="I1" s="9"/>
      <c r="J1" s="9" t="s">
        <v>44</v>
      </c>
      <c r="K1" s="9"/>
      <c r="L1" s="9"/>
      <c r="M1" s="9" t="s">
        <v>46</v>
      </c>
      <c r="N1" s="9"/>
      <c r="O1" s="9"/>
      <c r="P1" s="9" t="s">
        <v>47</v>
      </c>
      <c r="Q1" s="9"/>
      <c r="R1" s="9"/>
      <c r="S1" s="9" t="s">
        <v>101</v>
      </c>
      <c r="T1" s="9"/>
      <c r="U1" s="9"/>
      <c r="V1" s="9" t="s">
        <v>108</v>
      </c>
      <c r="W1" s="9"/>
      <c r="X1" s="9"/>
      <c r="Y1" s="9" t="s">
        <v>111</v>
      </c>
      <c r="Z1" s="9"/>
      <c r="AA1" s="9"/>
      <c r="AB1" s="9" t="s">
        <v>112</v>
      </c>
      <c r="AC1" s="9"/>
      <c r="AD1" s="9"/>
    </row>
    <row r="2" spans="1:30" s="1" customFormat="1">
      <c r="A2" s="1" t="s">
        <v>39</v>
      </c>
      <c r="B2" s="1" t="s">
        <v>0</v>
      </c>
      <c r="C2" s="1" t="s">
        <v>30</v>
      </c>
      <c r="D2" s="1" t="s">
        <v>1</v>
      </c>
      <c r="E2" s="1" t="s">
        <v>2</v>
      </c>
      <c r="F2" s="1" t="s">
        <v>3</v>
      </c>
      <c r="G2" s="1" t="s">
        <v>1</v>
      </c>
      <c r="H2" s="1" t="s">
        <v>106</v>
      </c>
      <c r="I2" s="1" t="s">
        <v>107</v>
      </c>
      <c r="J2" s="1" t="s">
        <v>1</v>
      </c>
      <c r="K2" s="1" t="s">
        <v>106</v>
      </c>
      <c r="L2" s="1" t="s">
        <v>107</v>
      </c>
      <c r="M2" s="1" t="s">
        <v>1</v>
      </c>
      <c r="N2" s="1" t="s">
        <v>106</v>
      </c>
      <c r="O2" s="1" t="s">
        <v>107</v>
      </c>
      <c r="P2" s="1" t="s">
        <v>1</v>
      </c>
      <c r="Q2" s="1" t="s">
        <v>106</v>
      </c>
      <c r="R2" s="1" t="s">
        <v>107</v>
      </c>
      <c r="S2" s="1" t="s">
        <v>1</v>
      </c>
      <c r="T2" s="1" t="s">
        <v>106</v>
      </c>
      <c r="U2" s="1" t="s">
        <v>107</v>
      </c>
      <c r="V2" s="1" t="s">
        <v>1</v>
      </c>
      <c r="W2" s="1" t="s">
        <v>106</v>
      </c>
      <c r="X2" s="1" t="s">
        <v>107</v>
      </c>
      <c r="Y2" s="1" t="s">
        <v>1</v>
      </c>
      <c r="Z2" s="1" t="s">
        <v>106</v>
      </c>
      <c r="AA2" s="1" t="s">
        <v>107</v>
      </c>
      <c r="AB2" s="1" t="s">
        <v>1</v>
      </c>
      <c r="AC2" s="1" t="s">
        <v>106</v>
      </c>
      <c r="AD2" s="1" t="s">
        <v>107</v>
      </c>
    </row>
    <row r="3" spans="1:30">
      <c r="A3" s="10" t="s">
        <v>40</v>
      </c>
      <c r="B3" s="11" t="s">
        <v>41</v>
      </c>
      <c r="C3" t="s">
        <v>42</v>
      </c>
      <c r="D3">
        <v>275</v>
      </c>
      <c r="E3">
        <v>5</v>
      </c>
      <c r="F3">
        <v>8</v>
      </c>
      <c r="G3">
        <v>262</v>
      </c>
      <c r="H3">
        <v>4</v>
      </c>
      <c r="I3">
        <v>9</v>
      </c>
      <c r="J3">
        <v>260</v>
      </c>
      <c r="K3">
        <v>4</v>
      </c>
      <c r="L3">
        <v>11</v>
      </c>
      <c r="M3">
        <v>241</v>
      </c>
      <c r="N3">
        <v>4</v>
      </c>
      <c r="O3">
        <v>10</v>
      </c>
      <c r="P3">
        <v>241</v>
      </c>
      <c r="Q3">
        <v>4</v>
      </c>
      <c r="R3">
        <v>10</v>
      </c>
      <c r="S3">
        <v>241</v>
      </c>
      <c r="T3">
        <v>4</v>
      </c>
      <c r="U3">
        <v>10</v>
      </c>
      <c r="V3">
        <v>241</v>
      </c>
      <c r="W3">
        <v>4</v>
      </c>
      <c r="X3">
        <v>10</v>
      </c>
      <c r="Y3">
        <v>241</v>
      </c>
      <c r="Z3">
        <v>4</v>
      </c>
      <c r="AA3">
        <v>10</v>
      </c>
      <c r="AB3">
        <v>48</v>
      </c>
      <c r="AC3">
        <v>3</v>
      </c>
      <c r="AD3">
        <v>3</v>
      </c>
    </row>
    <row r="4" spans="1:30">
      <c r="A4" s="10"/>
      <c r="B4" s="11"/>
      <c r="C4" t="s">
        <v>113</v>
      </c>
      <c r="AB4">
        <v>41</v>
      </c>
      <c r="AC4">
        <v>3</v>
      </c>
      <c r="AD4">
        <v>3</v>
      </c>
    </row>
    <row r="5" spans="1:30">
      <c r="A5" s="10"/>
      <c r="B5" s="11"/>
      <c r="C5" t="s">
        <v>43</v>
      </c>
      <c r="D5">
        <v>297</v>
      </c>
      <c r="E5">
        <v>5</v>
      </c>
      <c r="F5">
        <v>8</v>
      </c>
      <c r="G5">
        <v>287</v>
      </c>
      <c r="H5">
        <v>4</v>
      </c>
      <c r="I5">
        <v>9</v>
      </c>
      <c r="J5">
        <v>282</v>
      </c>
      <c r="K5">
        <v>4</v>
      </c>
      <c r="L5">
        <v>11</v>
      </c>
      <c r="M5">
        <v>263</v>
      </c>
      <c r="N5">
        <v>4</v>
      </c>
      <c r="O5">
        <v>10</v>
      </c>
      <c r="P5">
        <v>263</v>
      </c>
      <c r="Q5">
        <v>4</v>
      </c>
      <c r="R5">
        <v>10</v>
      </c>
      <c r="S5">
        <v>263</v>
      </c>
      <c r="T5">
        <v>4</v>
      </c>
      <c r="U5">
        <v>10</v>
      </c>
      <c r="V5">
        <v>263</v>
      </c>
      <c r="W5">
        <v>4</v>
      </c>
      <c r="X5">
        <v>10</v>
      </c>
      <c r="Y5">
        <v>263</v>
      </c>
      <c r="Z5">
        <v>4</v>
      </c>
      <c r="AA5">
        <v>10</v>
      </c>
      <c r="AB5">
        <v>48</v>
      </c>
      <c r="AC5">
        <v>3</v>
      </c>
      <c r="AD5">
        <v>3</v>
      </c>
    </row>
    <row r="6" spans="1:30">
      <c r="A6" s="10"/>
      <c r="B6" s="11"/>
      <c r="C6" t="s">
        <v>114</v>
      </c>
      <c r="AB6">
        <v>41</v>
      </c>
      <c r="AC6">
        <v>3</v>
      </c>
      <c r="AD6">
        <v>3</v>
      </c>
    </row>
    <row r="7" spans="1:30">
      <c r="A7" s="10"/>
      <c r="B7" s="5" t="s">
        <v>115</v>
      </c>
      <c r="AB7">
        <v>57</v>
      </c>
      <c r="AC7">
        <v>3</v>
      </c>
      <c r="AD7">
        <v>2</v>
      </c>
    </row>
    <row r="8" spans="1:30">
      <c r="A8" s="10"/>
      <c r="B8" s="11" t="s">
        <v>116</v>
      </c>
      <c r="C8" t="s">
        <v>117</v>
      </c>
      <c r="AB8">
        <v>76</v>
      </c>
      <c r="AC8">
        <v>3</v>
      </c>
      <c r="AD8">
        <v>4</v>
      </c>
    </row>
    <row r="9" spans="1:30">
      <c r="A9" s="10"/>
      <c r="B9" s="11"/>
      <c r="C9" t="s">
        <v>118</v>
      </c>
      <c r="AB9">
        <v>98</v>
      </c>
      <c r="AC9">
        <v>3</v>
      </c>
      <c r="AD9">
        <v>4</v>
      </c>
    </row>
    <row r="10" spans="1:30">
      <c r="A10" s="10"/>
      <c r="B10" s="11" t="s">
        <v>104</v>
      </c>
      <c r="C10" t="s">
        <v>113</v>
      </c>
      <c r="AB10">
        <v>70</v>
      </c>
      <c r="AC10">
        <v>4</v>
      </c>
      <c r="AD10">
        <v>3</v>
      </c>
    </row>
    <row r="11" spans="1:30">
      <c r="A11" s="10"/>
      <c r="B11" s="11"/>
      <c r="C11" t="s">
        <v>114</v>
      </c>
      <c r="AB11">
        <v>70</v>
      </c>
      <c r="AC11">
        <v>4</v>
      </c>
      <c r="AD11">
        <v>3</v>
      </c>
    </row>
    <row r="12" spans="1:30">
      <c r="A12" s="10" t="s">
        <v>45</v>
      </c>
      <c r="B12" s="11" t="s">
        <v>41</v>
      </c>
      <c r="C12" s="4" t="s">
        <v>102</v>
      </c>
      <c r="V12">
        <v>267</v>
      </c>
      <c r="W12">
        <v>10</v>
      </c>
      <c r="X12">
        <v>15</v>
      </c>
      <c r="Y12">
        <v>215</v>
      </c>
      <c r="Z12">
        <v>10</v>
      </c>
      <c r="AA12">
        <v>15</v>
      </c>
      <c r="AB12">
        <v>215</v>
      </c>
      <c r="AC12">
        <v>10</v>
      </c>
      <c r="AD12">
        <v>15</v>
      </c>
    </row>
    <row r="13" spans="1:30">
      <c r="A13" s="10"/>
      <c r="B13" s="11"/>
      <c r="C13" t="s">
        <v>42</v>
      </c>
      <c r="D13">
        <v>493</v>
      </c>
      <c r="E13">
        <v>12</v>
      </c>
      <c r="F13">
        <v>19</v>
      </c>
      <c r="G13">
        <v>471</v>
      </c>
      <c r="H13">
        <v>12</v>
      </c>
      <c r="I13">
        <v>21</v>
      </c>
      <c r="J13">
        <v>461</v>
      </c>
      <c r="K13">
        <v>12</v>
      </c>
      <c r="L13">
        <v>19</v>
      </c>
      <c r="M13">
        <v>453</v>
      </c>
      <c r="N13">
        <v>12</v>
      </c>
      <c r="O13">
        <v>16</v>
      </c>
      <c r="P13">
        <v>447</v>
      </c>
      <c r="Q13">
        <v>12</v>
      </c>
      <c r="R13">
        <v>16</v>
      </c>
      <c r="S13">
        <v>447</v>
      </c>
      <c r="T13">
        <v>12</v>
      </c>
      <c r="U13">
        <v>16</v>
      </c>
      <c r="V13">
        <v>253</v>
      </c>
      <c r="W13">
        <v>10</v>
      </c>
      <c r="X13">
        <v>14</v>
      </c>
      <c r="Y13">
        <v>199</v>
      </c>
      <c r="Z13">
        <v>10</v>
      </c>
      <c r="AA13">
        <v>14</v>
      </c>
      <c r="AB13">
        <v>199</v>
      </c>
      <c r="AC13">
        <v>10</v>
      </c>
      <c r="AD13">
        <v>14</v>
      </c>
    </row>
    <row r="14" spans="1:30">
      <c r="A14" s="10"/>
      <c r="B14" s="11"/>
      <c r="C14" s="4" t="s">
        <v>105</v>
      </c>
      <c r="V14">
        <v>257</v>
      </c>
      <c r="W14">
        <v>10</v>
      </c>
      <c r="X14">
        <v>15</v>
      </c>
      <c r="Y14">
        <v>220</v>
      </c>
      <c r="Z14">
        <v>10</v>
      </c>
      <c r="AA14">
        <v>15</v>
      </c>
      <c r="AB14">
        <v>220</v>
      </c>
      <c r="AC14">
        <v>10</v>
      </c>
      <c r="AD14">
        <v>15</v>
      </c>
    </row>
    <row r="15" spans="1:30">
      <c r="A15" s="10"/>
      <c r="B15" s="11"/>
      <c r="C15" t="s">
        <v>43</v>
      </c>
      <c r="D15">
        <v>596</v>
      </c>
      <c r="E15">
        <v>12</v>
      </c>
      <c r="F15">
        <v>19</v>
      </c>
      <c r="G15">
        <v>568</v>
      </c>
      <c r="H15">
        <v>12</v>
      </c>
      <c r="I15">
        <v>21</v>
      </c>
      <c r="J15">
        <v>558</v>
      </c>
      <c r="K15">
        <v>12</v>
      </c>
      <c r="L15">
        <v>19</v>
      </c>
      <c r="M15">
        <v>550</v>
      </c>
      <c r="N15">
        <v>12</v>
      </c>
      <c r="O15">
        <v>16</v>
      </c>
      <c r="P15">
        <v>543</v>
      </c>
      <c r="Q15">
        <v>12</v>
      </c>
      <c r="R15">
        <v>16</v>
      </c>
      <c r="S15">
        <v>543</v>
      </c>
      <c r="T15">
        <v>12</v>
      </c>
      <c r="U15">
        <v>16</v>
      </c>
      <c r="V15">
        <v>253</v>
      </c>
      <c r="W15">
        <v>10</v>
      </c>
      <c r="X15">
        <v>14</v>
      </c>
      <c r="Y15">
        <v>215</v>
      </c>
      <c r="Z15">
        <v>10</v>
      </c>
      <c r="AA15">
        <v>14</v>
      </c>
      <c r="AB15">
        <v>215</v>
      </c>
      <c r="AC15">
        <v>10</v>
      </c>
      <c r="AD15">
        <v>14</v>
      </c>
    </row>
    <row r="16" spans="1:30">
      <c r="A16" s="10"/>
      <c r="B16" s="11" t="s">
        <v>103</v>
      </c>
      <c r="C16" t="s">
        <v>110</v>
      </c>
      <c r="V16">
        <v>52</v>
      </c>
      <c r="W16">
        <v>4</v>
      </c>
      <c r="X16">
        <v>2</v>
      </c>
      <c r="Y16">
        <v>51</v>
      </c>
      <c r="Z16">
        <v>4</v>
      </c>
      <c r="AA16">
        <v>2</v>
      </c>
      <c r="AB16">
        <v>51</v>
      </c>
      <c r="AC16">
        <v>4</v>
      </c>
      <c r="AD16">
        <v>2</v>
      </c>
    </row>
    <row r="17" spans="1:30">
      <c r="A17" s="10"/>
      <c r="B17" s="11"/>
      <c r="C17" t="s">
        <v>109</v>
      </c>
      <c r="V17">
        <v>120</v>
      </c>
      <c r="W17">
        <v>4</v>
      </c>
      <c r="X17">
        <v>2</v>
      </c>
      <c r="Y17">
        <v>119</v>
      </c>
      <c r="Z17">
        <v>4</v>
      </c>
      <c r="AA17">
        <v>2</v>
      </c>
      <c r="AB17">
        <v>119</v>
      </c>
      <c r="AC17">
        <v>4</v>
      </c>
      <c r="AD17">
        <v>2</v>
      </c>
    </row>
    <row r="18" spans="1:30">
      <c r="A18" s="10"/>
      <c r="B18" s="11" t="s">
        <v>104</v>
      </c>
      <c r="C18" t="s">
        <v>110</v>
      </c>
      <c r="V18">
        <v>98</v>
      </c>
      <c r="W18">
        <v>12</v>
      </c>
      <c r="X18">
        <v>1</v>
      </c>
      <c r="Y18">
        <v>98</v>
      </c>
      <c r="Z18">
        <v>12</v>
      </c>
      <c r="AA18">
        <v>1</v>
      </c>
      <c r="AB18">
        <v>98</v>
      </c>
      <c r="AC18">
        <v>12</v>
      </c>
      <c r="AD18">
        <v>1</v>
      </c>
    </row>
    <row r="19" spans="1:30">
      <c r="A19" s="10"/>
      <c r="B19" s="11"/>
      <c r="C19" t="s">
        <v>109</v>
      </c>
      <c r="V19">
        <v>147</v>
      </c>
      <c r="W19">
        <v>12</v>
      </c>
      <c r="X19">
        <v>1</v>
      </c>
      <c r="Y19">
        <v>147</v>
      </c>
      <c r="Z19">
        <v>12</v>
      </c>
      <c r="AA19">
        <v>1</v>
      </c>
      <c r="AB19">
        <v>147</v>
      </c>
      <c r="AC19">
        <v>12</v>
      </c>
      <c r="AD19">
        <v>1</v>
      </c>
    </row>
    <row r="20" spans="1:30">
      <c r="D20" s="1">
        <f t="shared" ref="D20:Z20" si="0">SUM(D3:D19)</f>
        <v>1661</v>
      </c>
      <c r="E20" s="1">
        <f t="shared" si="0"/>
        <v>34</v>
      </c>
      <c r="F20" s="1">
        <f t="shared" si="0"/>
        <v>54</v>
      </c>
      <c r="G20" s="1">
        <f t="shared" si="0"/>
        <v>1588</v>
      </c>
      <c r="H20" s="1">
        <f t="shared" si="0"/>
        <v>32</v>
      </c>
      <c r="I20" s="1">
        <f t="shared" si="0"/>
        <v>60</v>
      </c>
      <c r="J20" s="1">
        <f t="shared" si="0"/>
        <v>1561</v>
      </c>
      <c r="K20" s="1">
        <f t="shared" si="0"/>
        <v>32</v>
      </c>
      <c r="L20" s="1">
        <f t="shared" si="0"/>
        <v>60</v>
      </c>
      <c r="M20" s="1">
        <f t="shared" si="0"/>
        <v>1507</v>
      </c>
      <c r="N20" s="1">
        <f t="shared" si="0"/>
        <v>32</v>
      </c>
      <c r="O20" s="1">
        <f t="shared" si="0"/>
        <v>52</v>
      </c>
      <c r="P20" s="1">
        <f t="shared" si="0"/>
        <v>1494</v>
      </c>
      <c r="Q20" s="1">
        <f t="shared" si="0"/>
        <v>32</v>
      </c>
      <c r="R20" s="1">
        <f t="shared" si="0"/>
        <v>52</v>
      </c>
      <c r="S20" s="1">
        <f t="shared" si="0"/>
        <v>1494</v>
      </c>
      <c r="T20" s="1">
        <f t="shared" si="0"/>
        <v>32</v>
      </c>
      <c r="U20" s="1">
        <f t="shared" si="0"/>
        <v>52</v>
      </c>
      <c r="V20" s="1">
        <f t="shared" si="0"/>
        <v>1951</v>
      </c>
      <c r="W20" s="1">
        <f t="shared" si="0"/>
        <v>80</v>
      </c>
      <c r="X20" s="1">
        <f t="shared" si="0"/>
        <v>84</v>
      </c>
      <c r="Y20" s="1">
        <f t="shared" si="0"/>
        <v>1768</v>
      </c>
      <c r="Z20" s="1">
        <f t="shared" si="0"/>
        <v>80</v>
      </c>
      <c r="AA20" s="1">
        <f t="shared" ref="AA20" si="1">SUM(AA3:AA19)</f>
        <v>84</v>
      </c>
      <c r="AB20" s="1">
        <f>SUM(AB3:AB19)</f>
        <v>1813</v>
      </c>
      <c r="AC20" s="1">
        <f>SUM(AC3:AC19)</f>
        <v>101</v>
      </c>
      <c r="AD20" s="1">
        <f>SUM(AD3:AD19)</f>
        <v>92</v>
      </c>
    </row>
    <row r="21" spans="1:30">
      <c r="P21">
        <f>P20-D20</f>
        <v>-167</v>
      </c>
    </row>
    <row r="22" spans="1:30">
      <c r="P22" s="2">
        <f>P21/D20</f>
        <v>-0.10054184226369657</v>
      </c>
    </row>
  </sheetData>
  <mergeCells count="17">
    <mergeCell ref="B10:B11"/>
    <mergeCell ref="AB1:AD1"/>
    <mergeCell ref="Y1:AA1"/>
    <mergeCell ref="A12:A19"/>
    <mergeCell ref="B12:B15"/>
    <mergeCell ref="V1:X1"/>
    <mergeCell ref="S1:U1"/>
    <mergeCell ref="A3:A11"/>
    <mergeCell ref="D1:F1"/>
    <mergeCell ref="G1:I1"/>
    <mergeCell ref="J1:L1"/>
    <mergeCell ref="M1:O1"/>
    <mergeCell ref="P1:R1"/>
    <mergeCell ref="B16:B17"/>
    <mergeCell ref="B18:B19"/>
    <mergeCell ref="B3:B6"/>
    <mergeCell ref="B8:B9"/>
  </mergeCells>
  <phoneticPr fontId="3" type="noConversion"/>
  <pageMargins left="0.7" right="0.7" top="0.75" bottom="0.75" header="0.3" footer="0.3"/>
  <pageSetup paperSize="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7098-9EF4-7A43-8BB2-8228CE41206A}">
  <dimension ref="A1:G20"/>
  <sheetViews>
    <sheetView zoomScale="130" zoomScaleNormal="130" workbookViewId="0">
      <selection sqref="A1:G2"/>
    </sheetView>
  </sheetViews>
  <sheetFormatPr baseColWidth="10" defaultRowHeight="16"/>
  <cols>
    <col min="1" max="1" width="22.28515625" customWidth="1"/>
    <col min="2" max="2" width="5.28515625" customWidth="1"/>
    <col min="3" max="3" width="5.7109375" customWidth="1"/>
    <col min="4" max="4" width="6.140625" customWidth="1"/>
    <col min="5" max="5" width="5.5703125" customWidth="1"/>
    <col min="6" max="6" width="5.7109375" customWidth="1"/>
    <col min="7" max="7" width="6.140625" customWidth="1"/>
  </cols>
  <sheetData>
    <row r="1" spans="1:7">
      <c r="A1" s="1"/>
      <c r="B1" s="9" t="s">
        <v>48</v>
      </c>
      <c r="C1" s="9"/>
      <c r="D1" s="9"/>
      <c r="E1" s="9" t="s">
        <v>49</v>
      </c>
      <c r="F1" s="9"/>
      <c r="G1" s="9"/>
    </row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</row>
    <row r="3" spans="1:7">
      <c r="A3" t="s">
        <v>50</v>
      </c>
      <c r="E3">
        <v>20</v>
      </c>
      <c r="F3">
        <v>2</v>
      </c>
      <c r="G3">
        <v>1</v>
      </c>
    </row>
    <row r="4" spans="1:7">
      <c r="A4" t="s">
        <v>52</v>
      </c>
      <c r="B4">
        <v>127</v>
      </c>
      <c r="C4">
        <v>4</v>
      </c>
      <c r="D4">
        <v>4</v>
      </c>
    </row>
    <row r="5" spans="1:7">
      <c r="A5" t="s">
        <v>51</v>
      </c>
      <c r="B5">
        <v>29</v>
      </c>
      <c r="C5">
        <v>3</v>
      </c>
      <c r="D5">
        <v>1</v>
      </c>
    </row>
    <row r="6" spans="1:7">
      <c r="A6" t="s">
        <v>53</v>
      </c>
      <c r="B6">
        <v>153</v>
      </c>
      <c r="C6">
        <v>6</v>
      </c>
      <c r="D6">
        <v>4</v>
      </c>
    </row>
    <row r="7" spans="1:7">
      <c r="A7" t="s">
        <v>54</v>
      </c>
      <c r="B7">
        <v>459</v>
      </c>
      <c r="C7">
        <v>7</v>
      </c>
      <c r="D7">
        <v>6</v>
      </c>
      <c r="E7">
        <v>314</v>
      </c>
      <c r="F7">
        <v>5</v>
      </c>
      <c r="G7">
        <v>6</v>
      </c>
    </row>
    <row r="8" spans="1:7">
      <c r="A8" t="s">
        <v>55</v>
      </c>
      <c r="B8">
        <v>284</v>
      </c>
      <c r="C8">
        <v>6</v>
      </c>
      <c r="D8">
        <v>6</v>
      </c>
    </row>
    <row r="9" spans="1:7">
      <c r="A9" t="s">
        <v>56</v>
      </c>
      <c r="E9">
        <v>45</v>
      </c>
      <c r="F9">
        <v>4</v>
      </c>
      <c r="G9">
        <v>1</v>
      </c>
    </row>
    <row r="10" spans="1:7">
      <c r="A10" t="s">
        <v>57</v>
      </c>
      <c r="B10">
        <v>162</v>
      </c>
      <c r="C10">
        <v>5</v>
      </c>
      <c r="D10">
        <v>0</v>
      </c>
      <c r="E10">
        <v>162</v>
      </c>
      <c r="F10">
        <v>5</v>
      </c>
      <c r="G10">
        <v>0</v>
      </c>
    </row>
    <row r="11" spans="1:7">
      <c r="A11" t="s">
        <v>58</v>
      </c>
      <c r="B11">
        <v>140</v>
      </c>
      <c r="C11">
        <v>3</v>
      </c>
      <c r="D11">
        <v>4</v>
      </c>
      <c r="E11">
        <v>36</v>
      </c>
      <c r="F11">
        <v>3</v>
      </c>
      <c r="G11">
        <v>3</v>
      </c>
    </row>
    <row r="12" spans="1:7">
      <c r="A12" t="s">
        <v>59</v>
      </c>
      <c r="B12">
        <v>44</v>
      </c>
      <c r="C12">
        <v>2</v>
      </c>
      <c r="D12">
        <v>4</v>
      </c>
    </row>
    <row r="13" spans="1:7">
      <c r="A13" t="s">
        <v>60</v>
      </c>
      <c r="E13">
        <v>64</v>
      </c>
      <c r="F13">
        <v>4</v>
      </c>
      <c r="G13">
        <v>2</v>
      </c>
    </row>
    <row r="14" spans="1:7">
      <c r="A14" t="s">
        <v>61</v>
      </c>
      <c r="B14">
        <v>24</v>
      </c>
      <c r="C14">
        <v>8</v>
      </c>
      <c r="D14">
        <v>0</v>
      </c>
      <c r="E14">
        <v>22</v>
      </c>
      <c r="F14">
        <v>8</v>
      </c>
      <c r="G14">
        <v>0</v>
      </c>
    </row>
    <row r="15" spans="1:7">
      <c r="A15" t="s">
        <v>62</v>
      </c>
      <c r="B15">
        <v>85</v>
      </c>
      <c r="C15">
        <v>3</v>
      </c>
      <c r="D15">
        <v>3</v>
      </c>
      <c r="E15">
        <v>85</v>
      </c>
      <c r="F15">
        <v>3</v>
      </c>
      <c r="G15">
        <v>3</v>
      </c>
    </row>
    <row r="16" spans="1:7">
      <c r="A16" t="s">
        <v>63</v>
      </c>
      <c r="B16">
        <v>81</v>
      </c>
      <c r="C16">
        <v>4</v>
      </c>
      <c r="D16">
        <v>4</v>
      </c>
      <c r="E16">
        <v>54</v>
      </c>
      <c r="F16">
        <v>4</v>
      </c>
      <c r="G16">
        <v>3</v>
      </c>
    </row>
    <row r="17" spans="1:7">
      <c r="A17" t="s">
        <v>64</v>
      </c>
      <c r="E17">
        <v>34</v>
      </c>
      <c r="F17">
        <v>8</v>
      </c>
      <c r="G17">
        <v>0</v>
      </c>
    </row>
    <row r="18" spans="1:7">
      <c r="B18" s="1">
        <f>SUM(B3:B17)</f>
        <v>1588</v>
      </c>
      <c r="C18" s="1">
        <f t="shared" ref="C18:G18" si="0">SUM(C3:C17)</f>
        <v>51</v>
      </c>
      <c r="D18" s="1">
        <f t="shared" si="0"/>
        <v>36</v>
      </c>
      <c r="E18" s="1">
        <f t="shared" si="0"/>
        <v>836</v>
      </c>
      <c r="F18" s="1">
        <f t="shared" si="0"/>
        <v>46</v>
      </c>
      <c r="G18" s="1">
        <f t="shared" si="0"/>
        <v>19</v>
      </c>
    </row>
    <row r="19" spans="1:7">
      <c r="E19">
        <f>E18-B18</f>
        <v>-752</v>
      </c>
    </row>
    <row r="20" spans="1:7">
      <c r="E20" s="2">
        <f>E19/B18</f>
        <v>-0.47355163727959698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6A6D4-E7A1-DE4F-AF79-3C1286851385}">
  <dimension ref="A1:P7"/>
  <sheetViews>
    <sheetView zoomScale="130" zoomScaleNormal="130" workbookViewId="0">
      <selection sqref="A1:P2"/>
    </sheetView>
  </sheetViews>
  <sheetFormatPr baseColWidth="10" defaultRowHeight="16"/>
  <cols>
    <col min="1" max="1" width="15.7109375" customWidth="1"/>
    <col min="2" max="3" width="5.7109375" customWidth="1"/>
    <col min="4" max="4" width="6.5703125" customWidth="1"/>
    <col min="5" max="6" width="5.7109375" customWidth="1"/>
    <col min="7" max="7" width="6.5703125" customWidth="1"/>
    <col min="8" max="9" width="5.7109375" customWidth="1"/>
    <col min="10" max="10" width="6.5703125" customWidth="1"/>
    <col min="11" max="12" width="5.7109375" customWidth="1"/>
    <col min="13" max="13" width="6.5703125" customWidth="1"/>
    <col min="14" max="15" width="5.7109375" customWidth="1"/>
    <col min="16" max="16" width="6.5703125" customWidth="1"/>
  </cols>
  <sheetData>
    <row r="1" spans="1:16">
      <c r="A1" s="1"/>
      <c r="B1" s="9" t="s">
        <v>69</v>
      </c>
      <c r="C1" s="9"/>
      <c r="D1" s="9"/>
      <c r="E1" s="9" t="s">
        <v>72</v>
      </c>
      <c r="F1" s="9"/>
      <c r="G1" s="9"/>
      <c r="H1" s="9" t="s">
        <v>73</v>
      </c>
      <c r="I1" s="9"/>
      <c r="J1" s="9"/>
      <c r="K1" s="9" t="s">
        <v>74</v>
      </c>
      <c r="L1" s="9"/>
      <c r="M1" s="9"/>
      <c r="N1" s="9" t="s">
        <v>75</v>
      </c>
      <c r="O1" s="9"/>
      <c r="P1" s="9"/>
    </row>
    <row r="2" spans="1:16">
      <c r="A2" s="1" t="s">
        <v>68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  <c r="K2" s="1" t="s">
        <v>65</v>
      </c>
      <c r="L2" s="1" t="s">
        <v>66</v>
      </c>
      <c r="M2" s="1" t="s">
        <v>67</v>
      </c>
      <c r="N2" s="1" t="s">
        <v>65</v>
      </c>
      <c r="O2" s="1" t="s">
        <v>66</v>
      </c>
      <c r="P2" s="1" t="s">
        <v>67</v>
      </c>
    </row>
    <row r="3" spans="1:16">
      <c r="A3" t="s">
        <v>70</v>
      </c>
      <c r="B3">
        <v>700</v>
      </c>
      <c r="C3">
        <v>7</v>
      </c>
      <c r="D3">
        <v>16</v>
      </c>
      <c r="E3">
        <v>675</v>
      </c>
      <c r="F3">
        <v>7</v>
      </c>
      <c r="G3">
        <v>13</v>
      </c>
      <c r="H3">
        <v>665</v>
      </c>
      <c r="I3">
        <v>7</v>
      </c>
      <c r="J3">
        <v>11</v>
      </c>
      <c r="K3">
        <v>628</v>
      </c>
      <c r="L3">
        <v>7</v>
      </c>
      <c r="M3">
        <v>10</v>
      </c>
      <c r="N3">
        <v>620</v>
      </c>
      <c r="O3">
        <v>7</v>
      </c>
      <c r="P3">
        <v>11</v>
      </c>
    </row>
    <row r="4" spans="1:16">
      <c r="A4" t="s">
        <v>71</v>
      </c>
      <c r="B4">
        <v>291</v>
      </c>
      <c r="C4">
        <v>4</v>
      </c>
      <c r="D4">
        <v>10</v>
      </c>
      <c r="E4">
        <v>288</v>
      </c>
      <c r="F4">
        <v>4</v>
      </c>
      <c r="G4">
        <v>9</v>
      </c>
      <c r="H4">
        <v>252</v>
      </c>
      <c r="I4">
        <v>4</v>
      </c>
      <c r="J4">
        <v>7</v>
      </c>
      <c r="K4">
        <v>244</v>
      </c>
      <c r="L4">
        <v>4</v>
      </c>
      <c r="M4">
        <v>7</v>
      </c>
      <c r="N4">
        <v>244</v>
      </c>
      <c r="O4">
        <v>4</v>
      </c>
      <c r="P4">
        <v>7</v>
      </c>
    </row>
    <row r="5" spans="1:16">
      <c r="B5" s="1">
        <f t="shared" ref="B5:G5" si="0">SUM(B3:B4)</f>
        <v>991</v>
      </c>
      <c r="C5" s="1">
        <f t="shared" si="0"/>
        <v>11</v>
      </c>
      <c r="D5" s="1">
        <f t="shared" si="0"/>
        <v>26</v>
      </c>
      <c r="E5" s="1">
        <f t="shared" si="0"/>
        <v>963</v>
      </c>
      <c r="F5" s="1">
        <f t="shared" si="0"/>
        <v>11</v>
      </c>
      <c r="G5" s="1">
        <f t="shared" si="0"/>
        <v>22</v>
      </c>
      <c r="H5" s="1">
        <f t="shared" ref="H5:J5" si="1">SUM(H3:H4)</f>
        <v>917</v>
      </c>
      <c r="I5" s="1">
        <f t="shared" si="1"/>
        <v>11</v>
      </c>
      <c r="J5" s="1">
        <f t="shared" si="1"/>
        <v>18</v>
      </c>
      <c r="K5" s="1">
        <f t="shared" ref="K5" si="2">SUM(K3:K4)</f>
        <v>872</v>
      </c>
      <c r="L5" s="1">
        <f t="shared" ref="L5" si="3">SUM(L3:L4)</f>
        <v>11</v>
      </c>
      <c r="M5" s="1">
        <f t="shared" ref="M5" si="4">SUM(M3:M4)</f>
        <v>17</v>
      </c>
      <c r="N5" s="1">
        <f t="shared" ref="N5" si="5">SUM(N3:N4)</f>
        <v>864</v>
      </c>
      <c r="O5" s="1">
        <f t="shared" ref="O5" si="6">SUM(O3:O4)</f>
        <v>11</v>
      </c>
      <c r="P5" s="1">
        <f t="shared" ref="P5" si="7">SUM(P3:P4)</f>
        <v>18</v>
      </c>
    </row>
    <row r="6" spans="1:16">
      <c r="N6">
        <f>N5-B5</f>
        <v>-127</v>
      </c>
    </row>
    <row r="7" spans="1:16">
      <c r="N7" s="2">
        <f>N6/B5</f>
        <v>-0.12815338042381433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3A2D3-B79F-994A-8E5F-6CAF0A113206}">
  <dimension ref="A1:J35"/>
  <sheetViews>
    <sheetView zoomScale="130" zoomScaleNormal="130" workbookViewId="0">
      <selection sqref="A1:D2"/>
    </sheetView>
  </sheetViews>
  <sheetFormatPr baseColWidth="10" defaultRowHeight="16"/>
  <cols>
    <col min="1" max="1" width="23.7109375" customWidth="1"/>
    <col min="2" max="2" width="5.7109375" customWidth="1"/>
    <col min="3" max="3" width="6" customWidth="1"/>
    <col min="4" max="4" width="6.7109375" customWidth="1"/>
    <col min="5" max="5" width="5.7109375" customWidth="1"/>
    <col min="6" max="6" width="6" customWidth="1"/>
    <col min="7" max="7" width="6.7109375" customWidth="1"/>
    <col min="8" max="8" width="5.7109375" customWidth="1"/>
    <col min="9" max="9" width="6" customWidth="1"/>
    <col min="10" max="10" width="6.7109375" customWidth="1"/>
  </cols>
  <sheetData>
    <row r="1" spans="1:10">
      <c r="A1" s="1"/>
      <c r="B1" s="9" t="s">
        <v>77</v>
      </c>
      <c r="C1" s="9"/>
      <c r="D1" s="9"/>
      <c r="E1" s="9" t="s">
        <v>69</v>
      </c>
      <c r="F1" s="9"/>
      <c r="G1" s="9"/>
      <c r="H1" s="9" t="s">
        <v>72</v>
      </c>
      <c r="I1" s="9"/>
      <c r="J1" s="9"/>
    </row>
    <row r="2" spans="1:10">
      <c r="A2" s="1" t="s">
        <v>76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</row>
    <row r="3" spans="1:10">
      <c r="A3" t="s">
        <v>78</v>
      </c>
      <c r="B3">
        <v>199</v>
      </c>
      <c r="C3">
        <v>6</v>
      </c>
      <c r="D3">
        <v>5</v>
      </c>
      <c r="E3">
        <v>188</v>
      </c>
      <c r="F3">
        <v>6</v>
      </c>
      <c r="G3">
        <v>6</v>
      </c>
      <c r="H3">
        <v>188</v>
      </c>
      <c r="I3">
        <v>6</v>
      </c>
      <c r="J3">
        <v>6</v>
      </c>
    </row>
    <row r="4" spans="1:10">
      <c r="A4" t="s">
        <v>79</v>
      </c>
      <c r="B4">
        <v>292</v>
      </c>
      <c r="C4" t="s">
        <v>36</v>
      </c>
      <c r="D4">
        <v>2</v>
      </c>
      <c r="E4">
        <v>243</v>
      </c>
      <c r="F4">
        <v>3</v>
      </c>
      <c r="G4">
        <v>3</v>
      </c>
      <c r="H4">
        <v>265</v>
      </c>
      <c r="I4">
        <v>3</v>
      </c>
      <c r="J4">
        <v>3</v>
      </c>
    </row>
    <row r="5" spans="1:10">
      <c r="A5" t="s">
        <v>81</v>
      </c>
      <c r="B5">
        <v>31</v>
      </c>
      <c r="C5">
        <v>2</v>
      </c>
      <c r="D5">
        <v>1</v>
      </c>
      <c r="E5">
        <v>29</v>
      </c>
      <c r="F5">
        <v>8</v>
      </c>
      <c r="G5">
        <v>0</v>
      </c>
      <c r="H5">
        <v>0</v>
      </c>
      <c r="I5">
        <v>0</v>
      </c>
      <c r="J5">
        <v>0</v>
      </c>
    </row>
    <row r="6" spans="1:10">
      <c r="A6" t="s">
        <v>80</v>
      </c>
      <c r="B6">
        <v>109</v>
      </c>
      <c r="C6">
        <v>2</v>
      </c>
      <c r="D6">
        <v>3</v>
      </c>
      <c r="E6">
        <v>103</v>
      </c>
      <c r="F6">
        <v>2</v>
      </c>
      <c r="G6">
        <v>4</v>
      </c>
      <c r="H6">
        <v>103</v>
      </c>
      <c r="I6">
        <v>2</v>
      </c>
      <c r="J6">
        <v>4</v>
      </c>
    </row>
    <row r="7" spans="1:10">
      <c r="A7" t="s">
        <v>83</v>
      </c>
      <c r="B7">
        <v>35</v>
      </c>
      <c r="C7">
        <v>8</v>
      </c>
      <c r="D7">
        <v>0</v>
      </c>
      <c r="E7">
        <v>35</v>
      </c>
      <c r="F7">
        <v>8</v>
      </c>
      <c r="G7">
        <v>0</v>
      </c>
      <c r="H7">
        <v>35</v>
      </c>
      <c r="I7">
        <v>8</v>
      </c>
      <c r="J7">
        <v>0</v>
      </c>
    </row>
    <row r="8" spans="1:10">
      <c r="A8" t="s">
        <v>82</v>
      </c>
      <c r="B8">
        <v>270</v>
      </c>
      <c r="C8">
        <v>6</v>
      </c>
      <c r="D8">
        <v>5</v>
      </c>
      <c r="E8">
        <v>257</v>
      </c>
      <c r="F8">
        <v>6</v>
      </c>
      <c r="G8">
        <v>8</v>
      </c>
      <c r="H8">
        <v>257</v>
      </c>
      <c r="I8">
        <v>6</v>
      </c>
      <c r="J8">
        <v>8</v>
      </c>
    </row>
    <row r="9" spans="1:10">
      <c r="A9" t="s">
        <v>84</v>
      </c>
      <c r="B9">
        <v>350</v>
      </c>
      <c r="C9">
        <v>6</v>
      </c>
      <c r="D9">
        <v>5</v>
      </c>
      <c r="E9">
        <v>308</v>
      </c>
      <c r="F9">
        <v>6</v>
      </c>
      <c r="G9">
        <v>6</v>
      </c>
      <c r="H9">
        <v>308</v>
      </c>
      <c r="I9">
        <v>6</v>
      </c>
      <c r="J9">
        <v>6</v>
      </c>
    </row>
    <row r="10" spans="1:10">
      <c r="A10" t="s">
        <v>85</v>
      </c>
      <c r="B10">
        <v>45</v>
      </c>
      <c r="C10">
        <v>2</v>
      </c>
      <c r="D10">
        <v>1</v>
      </c>
      <c r="E10">
        <v>56</v>
      </c>
      <c r="F10">
        <v>3</v>
      </c>
      <c r="G10">
        <v>1</v>
      </c>
      <c r="H10">
        <v>56</v>
      </c>
      <c r="I10">
        <v>3</v>
      </c>
      <c r="J10">
        <v>1</v>
      </c>
    </row>
    <row r="11" spans="1:10">
      <c r="A11" t="s">
        <v>86</v>
      </c>
      <c r="B11">
        <v>40</v>
      </c>
      <c r="C11">
        <v>3</v>
      </c>
      <c r="D11">
        <v>1</v>
      </c>
      <c r="E11">
        <v>40</v>
      </c>
      <c r="F11">
        <v>3</v>
      </c>
      <c r="G11">
        <v>1</v>
      </c>
      <c r="H11">
        <v>145</v>
      </c>
      <c r="I11">
        <v>6</v>
      </c>
      <c r="J11">
        <v>0</v>
      </c>
    </row>
    <row r="12" spans="1:10">
      <c r="A12" t="s">
        <v>87</v>
      </c>
      <c r="B12">
        <v>15</v>
      </c>
      <c r="C12">
        <v>2</v>
      </c>
      <c r="D12">
        <v>1</v>
      </c>
      <c r="E12">
        <v>13</v>
      </c>
      <c r="F12">
        <v>8</v>
      </c>
      <c r="G12">
        <v>0</v>
      </c>
      <c r="H12">
        <v>13</v>
      </c>
      <c r="I12">
        <v>8</v>
      </c>
      <c r="J12">
        <v>0</v>
      </c>
    </row>
    <row r="13" spans="1:10">
      <c r="A13" t="s">
        <v>88</v>
      </c>
      <c r="B13">
        <v>275</v>
      </c>
      <c r="C13">
        <v>8</v>
      </c>
      <c r="D13">
        <v>2</v>
      </c>
      <c r="E13">
        <v>184</v>
      </c>
      <c r="F13">
        <v>6</v>
      </c>
      <c r="G13">
        <v>2</v>
      </c>
      <c r="H13">
        <v>184</v>
      </c>
      <c r="I13">
        <v>6</v>
      </c>
      <c r="J13">
        <v>2</v>
      </c>
    </row>
    <row r="14" spans="1:10">
      <c r="A14" t="s">
        <v>89</v>
      </c>
      <c r="B14">
        <v>238</v>
      </c>
      <c r="C14">
        <v>6</v>
      </c>
      <c r="D14">
        <v>0</v>
      </c>
      <c r="E14">
        <v>116</v>
      </c>
      <c r="F14">
        <v>6</v>
      </c>
      <c r="G14">
        <v>0</v>
      </c>
      <c r="H14">
        <v>0</v>
      </c>
      <c r="I14">
        <v>0</v>
      </c>
      <c r="J14">
        <v>0</v>
      </c>
    </row>
    <row r="15" spans="1:10">
      <c r="A15" s="3" t="s">
        <v>90</v>
      </c>
      <c r="B15">
        <v>42</v>
      </c>
      <c r="C15">
        <v>6</v>
      </c>
      <c r="D15">
        <v>2</v>
      </c>
      <c r="E15">
        <v>40</v>
      </c>
      <c r="F15">
        <v>6</v>
      </c>
      <c r="G15">
        <v>1</v>
      </c>
      <c r="H15">
        <v>40</v>
      </c>
      <c r="I15">
        <v>6</v>
      </c>
      <c r="J15">
        <v>1</v>
      </c>
    </row>
    <row r="16" spans="1:10">
      <c r="A16" s="3" t="s">
        <v>91</v>
      </c>
      <c r="B16">
        <v>42</v>
      </c>
      <c r="C16">
        <v>6</v>
      </c>
      <c r="D16">
        <v>2</v>
      </c>
      <c r="E16">
        <v>40</v>
      </c>
      <c r="F16">
        <v>6</v>
      </c>
      <c r="G16">
        <v>1</v>
      </c>
      <c r="H16">
        <v>40</v>
      </c>
      <c r="I16">
        <v>6</v>
      </c>
      <c r="J16">
        <v>1</v>
      </c>
    </row>
    <row r="17" spans="1:10">
      <c r="A17" s="3" t="s">
        <v>92</v>
      </c>
      <c r="B17">
        <v>39</v>
      </c>
      <c r="C17">
        <v>3</v>
      </c>
      <c r="D17">
        <v>2</v>
      </c>
      <c r="E17">
        <v>39</v>
      </c>
      <c r="F17">
        <v>3</v>
      </c>
      <c r="G17">
        <v>2</v>
      </c>
      <c r="H17">
        <v>39</v>
      </c>
      <c r="I17">
        <v>3</v>
      </c>
      <c r="J17">
        <v>2</v>
      </c>
    </row>
    <row r="18" spans="1:10">
      <c r="A18" t="s">
        <v>93</v>
      </c>
      <c r="B18">
        <v>344</v>
      </c>
      <c r="C18">
        <v>8</v>
      </c>
      <c r="D18">
        <v>7</v>
      </c>
      <c r="E18">
        <v>314</v>
      </c>
      <c r="F18">
        <v>6</v>
      </c>
      <c r="G18">
        <v>10</v>
      </c>
      <c r="H18">
        <v>314</v>
      </c>
      <c r="I18">
        <v>6</v>
      </c>
      <c r="J18">
        <v>10</v>
      </c>
    </row>
    <row r="19" spans="1:10">
      <c r="A19" t="s">
        <v>94</v>
      </c>
      <c r="B19">
        <v>90</v>
      </c>
      <c r="C19">
        <v>5</v>
      </c>
      <c r="D19">
        <v>0</v>
      </c>
      <c r="E19">
        <v>88</v>
      </c>
      <c r="F19">
        <v>5</v>
      </c>
      <c r="G19">
        <v>2</v>
      </c>
      <c r="H19">
        <v>88</v>
      </c>
      <c r="I19">
        <v>5</v>
      </c>
      <c r="J19">
        <v>2</v>
      </c>
    </row>
    <row r="20" spans="1:10">
      <c r="A20" t="s">
        <v>95</v>
      </c>
      <c r="B20">
        <v>144</v>
      </c>
      <c r="C20">
        <v>5</v>
      </c>
      <c r="D20">
        <v>0</v>
      </c>
      <c r="E20">
        <v>123</v>
      </c>
      <c r="F20">
        <v>6</v>
      </c>
      <c r="G20">
        <v>3</v>
      </c>
      <c r="H20">
        <v>123</v>
      </c>
      <c r="I20">
        <v>6</v>
      </c>
      <c r="J20">
        <v>3</v>
      </c>
    </row>
    <row r="21" spans="1:10">
      <c r="A21" t="s">
        <v>96</v>
      </c>
      <c r="B21">
        <v>271</v>
      </c>
      <c r="C21">
        <v>6</v>
      </c>
      <c r="D21">
        <v>0</v>
      </c>
      <c r="E21">
        <v>170</v>
      </c>
      <c r="F21">
        <v>6</v>
      </c>
      <c r="G21">
        <v>2</v>
      </c>
      <c r="H21">
        <v>170</v>
      </c>
      <c r="I21">
        <v>6</v>
      </c>
      <c r="J21">
        <v>2</v>
      </c>
    </row>
    <row r="22" spans="1:10">
      <c r="B22" s="1">
        <f>SUM(B3:B21)</f>
        <v>2871</v>
      </c>
      <c r="C22" s="1">
        <f t="shared" ref="C22:J22" si="0">SUM(C3:C21)</f>
        <v>90</v>
      </c>
      <c r="D22" s="1">
        <f t="shared" si="0"/>
        <v>39</v>
      </c>
      <c r="E22" s="1">
        <f t="shared" si="0"/>
        <v>2386</v>
      </c>
      <c r="F22" s="1">
        <f t="shared" si="0"/>
        <v>103</v>
      </c>
      <c r="G22" s="1">
        <f t="shared" si="0"/>
        <v>52</v>
      </c>
      <c r="H22" s="1">
        <f t="shared" si="0"/>
        <v>2368</v>
      </c>
      <c r="I22" s="1">
        <f t="shared" si="0"/>
        <v>92</v>
      </c>
      <c r="J22" s="1">
        <f t="shared" si="0"/>
        <v>51</v>
      </c>
    </row>
    <row r="24" spans="1:10">
      <c r="A24" s="3" t="s">
        <v>94</v>
      </c>
      <c r="B24">
        <v>347</v>
      </c>
      <c r="C24">
        <v>5</v>
      </c>
      <c r="D24">
        <v>4</v>
      </c>
      <c r="E24">
        <v>323</v>
      </c>
      <c r="F24">
        <v>5</v>
      </c>
      <c r="G24">
        <v>6</v>
      </c>
    </row>
    <row r="25" spans="1:10">
      <c r="A25" s="3" t="s">
        <v>96</v>
      </c>
      <c r="B25">
        <v>263</v>
      </c>
      <c r="C25">
        <v>6</v>
      </c>
      <c r="D25">
        <v>1</v>
      </c>
      <c r="E25">
        <v>194</v>
      </c>
      <c r="F25">
        <v>6</v>
      </c>
      <c r="G25">
        <v>3</v>
      </c>
    </row>
    <row r="26" spans="1:10">
      <c r="A26" s="3" t="s">
        <v>84</v>
      </c>
      <c r="B26">
        <v>285</v>
      </c>
      <c r="C26">
        <v>6</v>
      </c>
      <c r="D26">
        <v>4</v>
      </c>
      <c r="E26">
        <v>254</v>
      </c>
      <c r="F26">
        <v>6</v>
      </c>
      <c r="G26">
        <v>6</v>
      </c>
    </row>
    <row r="27" spans="1:10">
      <c r="A27" t="s">
        <v>78</v>
      </c>
      <c r="B27">
        <v>285</v>
      </c>
      <c r="C27">
        <v>6</v>
      </c>
      <c r="D27">
        <v>5</v>
      </c>
      <c r="E27">
        <v>244</v>
      </c>
      <c r="F27">
        <v>6</v>
      </c>
      <c r="G27">
        <v>8</v>
      </c>
    </row>
    <row r="28" spans="1:10">
      <c r="A28" s="3" t="s">
        <v>87</v>
      </c>
      <c r="B28">
        <v>281</v>
      </c>
      <c r="C28">
        <v>6</v>
      </c>
      <c r="D28">
        <v>4</v>
      </c>
      <c r="E28">
        <v>250</v>
      </c>
      <c r="F28">
        <v>6</v>
      </c>
      <c r="G28">
        <v>6</v>
      </c>
    </row>
    <row r="29" spans="1:10">
      <c r="A29" s="3" t="s">
        <v>97</v>
      </c>
      <c r="B29">
        <v>160</v>
      </c>
      <c r="C29">
        <v>6</v>
      </c>
      <c r="D29">
        <v>4</v>
      </c>
      <c r="E29">
        <v>160</v>
      </c>
      <c r="F29">
        <v>6</v>
      </c>
      <c r="G29">
        <v>4</v>
      </c>
    </row>
    <row r="30" spans="1:10">
      <c r="A30" t="s">
        <v>98</v>
      </c>
      <c r="B30">
        <v>176</v>
      </c>
      <c r="C30">
        <v>3</v>
      </c>
      <c r="D30">
        <v>2</v>
      </c>
      <c r="E30">
        <v>77</v>
      </c>
      <c r="F30">
        <v>3</v>
      </c>
      <c r="G30">
        <v>2</v>
      </c>
    </row>
    <row r="31" spans="1:10">
      <c r="A31" t="s">
        <v>99</v>
      </c>
      <c r="B31">
        <v>99</v>
      </c>
      <c r="C31">
        <v>4</v>
      </c>
      <c r="D31">
        <v>3</v>
      </c>
      <c r="E31">
        <v>99</v>
      </c>
      <c r="F31">
        <v>4</v>
      </c>
      <c r="G31">
        <v>3</v>
      </c>
    </row>
    <row r="32" spans="1:10">
      <c r="A32" t="s">
        <v>100</v>
      </c>
      <c r="B32">
        <v>186</v>
      </c>
      <c r="C32">
        <v>5</v>
      </c>
      <c r="D32">
        <v>5</v>
      </c>
      <c r="E32">
        <v>189</v>
      </c>
      <c r="F32">
        <v>5</v>
      </c>
      <c r="G32">
        <v>6</v>
      </c>
    </row>
    <row r="33" spans="2:7">
      <c r="B33" s="1">
        <f>SUM(B24:B32)</f>
        <v>2082</v>
      </c>
      <c r="C33">
        <f t="shared" ref="C33:G33" si="1">SUM(C24:C32)</f>
        <v>47</v>
      </c>
      <c r="D33">
        <f t="shared" si="1"/>
        <v>32</v>
      </c>
      <c r="E33" s="1">
        <f t="shared" si="1"/>
        <v>1790</v>
      </c>
      <c r="F33">
        <f t="shared" si="1"/>
        <v>47</v>
      </c>
      <c r="G33">
        <f t="shared" si="1"/>
        <v>44</v>
      </c>
    </row>
    <row r="34" spans="2:7">
      <c r="E34">
        <f>E33-B33</f>
        <v>-292</v>
      </c>
    </row>
    <row r="35" spans="2:7">
      <c r="E35" s="2">
        <f>E34/B33</f>
        <v>-0.14024975984630164</v>
      </c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323DF-4A97-4C48-B3D4-92F5ADBE433C}">
  <dimension ref="A1:AH10"/>
  <sheetViews>
    <sheetView zoomScale="130" zoomScaleNormal="130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AG12" sqref="AG12"/>
    </sheetView>
  </sheetViews>
  <sheetFormatPr baseColWidth="10" defaultRowHeight="16"/>
  <cols>
    <col min="1" max="1" width="20" bestFit="1" customWidth="1"/>
    <col min="2" max="2" width="42.85546875" bestFit="1" customWidth="1"/>
    <col min="3" max="3" width="4.140625" bestFit="1" customWidth="1"/>
    <col min="4" max="4" width="4.7109375" bestFit="1" customWidth="1"/>
    <col min="5" max="5" width="5.140625" bestFit="1" customWidth="1"/>
    <col min="6" max="6" width="5.7109375" bestFit="1" customWidth="1"/>
    <col min="7" max="7" width="4.140625" bestFit="1" customWidth="1"/>
    <col min="8" max="8" width="4.7109375" bestFit="1" customWidth="1"/>
    <col min="9" max="9" width="5.140625" bestFit="1" customWidth="1"/>
    <col min="10" max="10" width="5.7109375" bestFit="1" customWidth="1"/>
    <col min="11" max="11" width="4.140625" bestFit="1" customWidth="1"/>
    <col min="12" max="13" width="5.140625" bestFit="1" customWidth="1"/>
    <col min="14" max="14" width="5.7109375" bestFit="1" customWidth="1"/>
    <col min="15" max="15" width="4.140625" bestFit="1" customWidth="1"/>
    <col min="16" max="17" width="5.140625" bestFit="1" customWidth="1"/>
    <col min="18" max="18" width="5.7109375" bestFit="1" customWidth="1"/>
    <col min="19" max="19" width="4.140625" bestFit="1" customWidth="1"/>
    <col min="20" max="20" width="4.7109375" bestFit="1" customWidth="1"/>
    <col min="21" max="21" width="5.140625" bestFit="1" customWidth="1"/>
    <col min="22" max="22" width="5.7109375" bestFit="1" customWidth="1"/>
    <col min="23" max="23" width="4.140625" bestFit="1" customWidth="1"/>
    <col min="24" max="24" width="5" bestFit="1" customWidth="1"/>
    <col min="25" max="25" width="5.140625" bestFit="1" customWidth="1"/>
    <col min="26" max="26" width="5.7109375" bestFit="1" customWidth="1"/>
    <col min="27" max="27" width="4.140625" bestFit="1" customWidth="1"/>
    <col min="28" max="28" width="4.7109375" bestFit="1" customWidth="1"/>
    <col min="29" max="29" width="5.140625" bestFit="1" customWidth="1"/>
    <col min="30" max="30" width="5.7109375" bestFit="1" customWidth="1"/>
    <col min="31" max="31" width="4.140625" bestFit="1" customWidth="1"/>
    <col min="32" max="32" width="4.7109375" bestFit="1" customWidth="1"/>
    <col min="33" max="33" width="5.140625" bestFit="1" customWidth="1"/>
    <col min="34" max="34" width="5.7109375" bestFit="1" customWidth="1"/>
  </cols>
  <sheetData>
    <row r="1" spans="1:34" s="1" customFormat="1">
      <c r="C1" s="9" t="s">
        <v>69</v>
      </c>
      <c r="D1" s="9"/>
      <c r="E1" s="9"/>
      <c r="F1" s="9"/>
      <c r="G1" s="9" t="s">
        <v>72</v>
      </c>
      <c r="H1" s="9"/>
      <c r="I1" s="9"/>
      <c r="J1" s="9"/>
      <c r="K1" s="9" t="s">
        <v>73</v>
      </c>
      <c r="L1" s="9"/>
      <c r="M1" s="9"/>
      <c r="N1" s="9"/>
      <c r="O1" s="9" t="s">
        <v>74</v>
      </c>
      <c r="P1" s="9"/>
      <c r="Q1" s="9"/>
      <c r="R1" s="9"/>
      <c r="S1" s="9" t="s">
        <v>75</v>
      </c>
      <c r="T1" s="9"/>
      <c r="U1" s="9"/>
      <c r="V1" s="9"/>
      <c r="W1" s="9" t="s">
        <v>127</v>
      </c>
      <c r="X1" s="9"/>
      <c r="Y1" s="9"/>
      <c r="Z1" s="9"/>
      <c r="AA1" s="9" t="s">
        <v>128</v>
      </c>
      <c r="AB1" s="9"/>
      <c r="AC1" s="9"/>
      <c r="AD1" s="9"/>
      <c r="AE1" s="9" t="s">
        <v>129</v>
      </c>
      <c r="AF1" s="9"/>
      <c r="AG1" s="9"/>
      <c r="AH1" s="9"/>
    </row>
    <row r="2" spans="1:34" s="1" customFormat="1">
      <c r="A2" s="1" t="s">
        <v>76</v>
      </c>
      <c r="B2" s="1" t="s">
        <v>119</v>
      </c>
      <c r="C2" s="1" t="s">
        <v>121</v>
      </c>
      <c r="D2" s="1" t="s">
        <v>65</v>
      </c>
      <c r="E2" s="1" t="s">
        <v>66</v>
      </c>
      <c r="F2" s="1" t="s">
        <v>67</v>
      </c>
      <c r="G2" s="1" t="s">
        <v>121</v>
      </c>
      <c r="H2" s="1" t="s">
        <v>65</v>
      </c>
      <c r="I2" s="1" t="s">
        <v>66</v>
      </c>
      <c r="J2" s="1" t="s">
        <v>67</v>
      </c>
      <c r="K2" s="1" t="s">
        <v>121</v>
      </c>
      <c r="L2" s="1" t="s">
        <v>65</v>
      </c>
      <c r="M2" s="1" t="s">
        <v>66</v>
      </c>
      <c r="N2" s="1" t="s">
        <v>67</v>
      </c>
      <c r="O2" s="1" t="s">
        <v>121</v>
      </c>
      <c r="P2" s="1" t="s">
        <v>65</v>
      </c>
      <c r="Q2" s="1" t="s">
        <v>66</v>
      </c>
      <c r="R2" s="1" t="s">
        <v>67</v>
      </c>
      <c r="S2" s="1" t="s">
        <v>121</v>
      </c>
      <c r="T2" s="1" t="s">
        <v>65</v>
      </c>
      <c r="U2" s="1" t="s">
        <v>66</v>
      </c>
      <c r="V2" s="1" t="s">
        <v>67</v>
      </c>
      <c r="W2" s="1" t="s">
        <v>121</v>
      </c>
      <c r="X2" s="1" t="s">
        <v>65</v>
      </c>
      <c r="Y2" s="1" t="s">
        <v>66</v>
      </c>
      <c r="Z2" s="1" t="s">
        <v>67</v>
      </c>
      <c r="AA2" s="1" t="s">
        <v>121</v>
      </c>
      <c r="AB2" s="1" t="s">
        <v>65</v>
      </c>
      <c r="AC2" s="1" t="s">
        <v>66</v>
      </c>
      <c r="AD2" s="1" t="s">
        <v>67</v>
      </c>
      <c r="AE2" s="1" t="s">
        <v>121</v>
      </c>
      <c r="AF2" s="1" t="s">
        <v>65</v>
      </c>
      <c r="AG2" s="1" t="s">
        <v>66</v>
      </c>
      <c r="AH2" s="1" t="s">
        <v>67</v>
      </c>
    </row>
    <row r="3" spans="1:34" ht="36">
      <c r="A3" t="s">
        <v>120</v>
      </c>
      <c r="B3" s="7" t="s">
        <v>125</v>
      </c>
      <c r="C3">
        <v>5</v>
      </c>
      <c r="D3">
        <v>664</v>
      </c>
      <c r="E3">
        <v>7</v>
      </c>
      <c r="F3">
        <v>7</v>
      </c>
      <c r="G3">
        <v>5</v>
      </c>
      <c r="H3">
        <v>663</v>
      </c>
      <c r="I3">
        <v>7</v>
      </c>
      <c r="J3">
        <v>7</v>
      </c>
      <c r="K3">
        <v>5</v>
      </c>
      <c r="L3">
        <v>231</v>
      </c>
      <c r="M3">
        <v>7</v>
      </c>
      <c r="N3">
        <v>5</v>
      </c>
      <c r="O3">
        <v>5</v>
      </c>
      <c r="P3">
        <v>231</v>
      </c>
      <c r="Q3">
        <v>7</v>
      </c>
      <c r="R3">
        <v>5</v>
      </c>
      <c r="S3">
        <v>5</v>
      </c>
      <c r="T3">
        <v>231</v>
      </c>
      <c r="U3">
        <v>7</v>
      </c>
      <c r="V3">
        <v>5</v>
      </c>
      <c r="W3">
        <v>5</v>
      </c>
      <c r="X3">
        <v>220</v>
      </c>
      <c r="Y3">
        <v>7</v>
      </c>
      <c r="Z3">
        <v>5</v>
      </c>
      <c r="AA3">
        <v>5</v>
      </c>
      <c r="AB3">
        <v>220</v>
      </c>
      <c r="AC3">
        <v>8</v>
      </c>
      <c r="AD3">
        <v>4</v>
      </c>
      <c r="AE3">
        <v>5</v>
      </c>
      <c r="AF3">
        <v>215</v>
      </c>
      <c r="AG3">
        <v>8</v>
      </c>
      <c r="AH3">
        <v>4</v>
      </c>
    </row>
    <row r="4" spans="1:34" ht="36">
      <c r="B4" s="7" t="s">
        <v>126</v>
      </c>
      <c r="K4">
        <v>7</v>
      </c>
      <c r="L4">
        <v>399</v>
      </c>
      <c r="M4">
        <v>6</v>
      </c>
      <c r="N4">
        <v>1</v>
      </c>
      <c r="O4">
        <v>7</v>
      </c>
      <c r="P4">
        <v>396</v>
      </c>
      <c r="Q4">
        <v>6</v>
      </c>
      <c r="R4">
        <v>1</v>
      </c>
      <c r="S4">
        <v>7</v>
      </c>
      <c r="T4">
        <v>396</v>
      </c>
      <c r="U4">
        <v>6</v>
      </c>
      <c r="V4">
        <v>1</v>
      </c>
      <c r="W4">
        <v>7</v>
      </c>
      <c r="X4">
        <v>377</v>
      </c>
      <c r="Y4">
        <v>6</v>
      </c>
      <c r="Z4">
        <v>1</v>
      </c>
      <c r="AA4">
        <v>7</v>
      </c>
      <c r="AB4">
        <v>342</v>
      </c>
      <c r="AC4">
        <v>6</v>
      </c>
      <c r="AD4">
        <v>1</v>
      </c>
      <c r="AE4">
        <v>7</v>
      </c>
      <c r="AF4">
        <v>337</v>
      </c>
      <c r="AG4">
        <v>7</v>
      </c>
      <c r="AH4">
        <v>1</v>
      </c>
    </row>
    <row r="5" spans="1:34">
      <c r="A5" t="s">
        <v>122</v>
      </c>
      <c r="C5">
        <v>6</v>
      </c>
      <c r="D5">
        <v>62</v>
      </c>
      <c r="E5">
        <v>6</v>
      </c>
      <c r="F5">
        <v>2</v>
      </c>
      <c r="G5">
        <v>6</v>
      </c>
      <c r="H5">
        <v>62</v>
      </c>
      <c r="I5">
        <v>6</v>
      </c>
      <c r="J5">
        <v>2</v>
      </c>
      <c r="K5">
        <v>6</v>
      </c>
      <c r="L5">
        <v>62</v>
      </c>
      <c r="M5">
        <v>6</v>
      </c>
      <c r="N5">
        <v>2</v>
      </c>
      <c r="O5">
        <v>6</v>
      </c>
      <c r="P5">
        <v>60</v>
      </c>
      <c r="Q5">
        <v>6</v>
      </c>
      <c r="R5">
        <v>2</v>
      </c>
      <c r="S5">
        <v>6</v>
      </c>
      <c r="T5">
        <v>60</v>
      </c>
      <c r="U5">
        <v>6</v>
      </c>
      <c r="V5">
        <v>2</v>
      </c>
      <c r="W5">
        <v>6</v>
      </c>
      <c r="X5">
        <v>60</v>
      </c>
      <c r="Y5">
        <v>6</v>
      </c>
      <c r="Z5">
        <v>2</v>
      </c>
      <c r="AA5">
        <v>6</v>
      </c>
      <c r="AB5">
        <v>60</v>
      </c>
      <c r="AC5">
        <v>6</v>
      </c>
      <c r="AD5">
        <v>2</v>
      </c>
      <c r="AE5">
        <v>6</v>
      </c>
      <c r="AF5">
        <v>60</v>
      </c>
      <c r="AG5">
        <v>6</v>
      </c>
      <c r="AH5">
        <v>2</v>
      </c>
    </row>
    <row r="6" spans="1:34">
      <c r="A6" t="s">
        <v>123</v>
      </c>
      <c r="C6">
        <v>7</v>
      </c>
      <c r="D6">
        <v>86</v>
      </c>
      <c r="E6">
        <v>8</v>
      </c>
      <c r="F6">
        <v>1</v>
      </c>
      <c r="G6">
        <v>6</v>
      </c>
      <c r="H6">
        <v>94</v>
      </c>
      <c r="I6">
        <v>8</v>
      </c>
      <c r="J6">
        <v>2</v>
      </c>
      <c r="K6">
        <v>6</v>
      </c>
      <c r="L6">
        <v>94</v>
      </c>
      <c r="M6">
        <v>8</v>
      </c>
      <c r="N6">
        <v>2</v>
      </c>
      <c r="O6">
        <v>6</v>
      </c>
      <c r="P6">
        <v>93</v>
      </c>
      <c r="Q6">
        <v>8</v>
      </c>
      <c r="R6">
        <v>2</v>
      </c>
      <c r="S6">
        <v>6</v>
      </c>
      <c r="T6">
        <v>129</v>
      </c>
      <c r="U6">
        <v>8</v>
      </c>
      <c r="V6">
        <v>2</v>
      </c>
      <c r="W6">
        <v>6</v>
      </c>
      <c r="X6">
        <v>115</v>
      </c>
      <c r="Y6">
        <v>8</v>
      </c>
      <c r="Z6">
        <v>2</v>
      </c>
      <c r="AA6">
        <v>6</v>
      </c>
      <c r="AB6">
        <v>116</v>
      </c>
      <c r="AC6">
        <v>8</v>
      </c>
      <c r="AD6">
        <v>2</v>
      </c>
      <c r="AE6">
        <v>6</v>
      </c>
      <c r="AF6">
        <v>111</v>
      </c>
      <c r="AG6">
        <v>7</v>
      </c>
      <c r="AH6">
        <v>2</v>
      </c>
    </row>
    <row r="7" spans="1:34">
      <c r="A7" t="s">
        <v>124</v>
      </c>
      <c r="C7">
        <v>7</v>
      </c>
      <c r="D7">
        <v>97</v>
      </c>
      <c r="E7">
        <v>9</v>
      </c>
      <c r="F7">
        <v>1</v>
      </c>
      <c r="G7">
        <v>7</v>
      </c>
      <c r="H7">
        <v>97</v>
      </c>
      <c r="I7">
        <v>9</v>
      </c>
      <c r="J7">
        <v>1</v>
      </c>
      <c r="K7">
        <v>7</v>
      </c>
      <c r="L7">
        <v>97</v>
      </c>
      <c r="M7">
        <v>9</v>
      </c>
      <c r="N7">
        <v>1</v>
      </c>
      <c r="O7">
        <v>7</v>
      </c>
      <c r="P7">
        <v>96</v>
      </c>
      <c r="Q7">
        <v>9</v>
      </c>
      <c r="R7">
        <v>1</v>
      </c>
      <c r="S7">
        <v>7</v>
      </c>
      <c r="T7">
        <v>132</v>
      </c>
      <c r="U7">
        <v>9</v>
      </c>
      <c r="V7">
        <v>1</v>
      </c>
      <c r="W7">
        <v>7</v>
      </c>
      <c r="X7">
        <v>132</v>
      </c>
      <c r="Y7">
        <v>9</v>
      </c>
      <c r="Z7">
        <v>1</v>
      </c>
      <c r="AA7">
        <v>7</v>
      </c>
      <c r="AB7">
        <v>132</v>
      </c>
      <c r="AC7">
        <v>9</v>
      </c>
      <c r="AD7">
        <v>1</v>
      </c>
      <c r="AE7">
        <v>7</v>
      </c>
      <c r="AF7">
        <v>132</v>
      </c>
      <c r="AG7">
        <v>9</v>
      </c>
      <c r="AH7">
        <v>1</v>
      </c>
    </row>
    <row r="8" spans="1:34">
      <c r="A8" t="s">
        <v>130</v>
      </c>
      <c r="W8">
        <v>4</v>
      </c>
      <c r="X8">
        <v>76</v>
      </c>
      <c r="Y8">
        <v>5</v>
      </c>
      <c r="Z8">
        <v>4</v>
      </c>
      <c r="AA8">
        <v>4</v>
      </c>
      <c r="AB8">
        <v>89</v>
      </c>
      <c r="AC8">
        <v>5</v>
      </c>
      <c r="AD8">
        <v>3</v>
      </c>
      <c r="AE8">
        <v>4</v>
      </c>
      <c r="AF8">
        <v>94</v>
      </c>
      <c r="AG8">
        <v>5</v>
      </c>
      <c r="AH8">
        <v>3</v>
      </c>
    </row>
    <row r="9" spans="1:34">
      <c r="C9" s="1">
        <f>SUM(C3:C8)</f>
        <v>25</v>
      </c>
      <c r="D9" s="1">
        <f t="shared" ref="D9:Z9" si="0">SUM(D3:D8)</f>
        <v>909</v>
      </c>
      <c r="E9" s="1">
        <f t="shared" si="0"/>
        <v>30</v>
      </c>
      <c r="F9" s="1">
        <f t="shared" si="0"/>
        <v>11</v>
      </c>
      <c r="G9" s="1">
        <f t="shared" si="0"/>
        <v>24</v>
      </c>
      <c r="H9" s="1">
        <f t="shared" si="0"/>
        <v>916</v>
      </c>
      <c r="I9" s="1">
        <f t="shared" si="0"/>
        <v>30</v>
      </c>
      <c r="J9" s="1">
        <f t="shared" si="0"/>
        <v>12</v>
      </c>
      <c r="K9" s="1">
        <f t="shared" si="0"/>
        <v>31</v>
      </c>
      <c r="L9" s="1">
        <f t="shared" si="0"/>
        <v>883</v>
      </c>
      <c r="M9" s="1">
        <f t="shared" si="0"/>
        <v>36</v>
      </c>
      <c r="N9" s="1">
        <f t="shared" si="0"/>
        <v>11</v>
      </c>
      <c r="O9" s="1">
        <f t="shared" si="0"/>
        <v>31</v>
      </c>
      <c r="P9" s="1">
        <f t="shared" si="0"/>
        <v>876</v>
      </c>
      <c r="Q9" s="1">
        <f t="shared" si="0"/>
        <v>36</v>
      </c>
      <c r="R9" s="1">
        <f t="shared" si="0"/>
        <v>11</v>
      </c>
      <c r="S9" s="1">
        <f t="shared" si="0"/>
        <v>31</v>
      </c>
      <c r="T9" s="1">
        <f t="shared" si="0"/>
        <v>948</v>
      </c>
      <c r="U9" s="1">
        <f t="shared" si="0"/>
        <v>36</v>
      </c>
      <c r="V9" s="1">
        <f t="shared" si="0"/>
        <v>11</v>
      </c>
      <c r="W9" s="1">
        <f t="shared" si="0"/>
        <v>35</v>
      </c>
      <c r="X9" s="1">
        <f t="shared" si="0"/>
        <v>980</v>
      </c>
      <c r="Y9" s="1">
        <f t="shared" si="0"/>
        <v>41</v>
      </c>
      <c r="Z9" s="1">
        <f t="shared" si="0"/>
        <v>15</v>
      </c>
      <c r="AA9" s="1">
        <f t="shared" ref="AA9" si="1">SUM(AA3:AA8)</f>
        <v>35</v>
      </c>
      <c r="AB9" s="1">
        <f t="shared" ref="AB9" si="2">SUM(AB3:AB8)</f>
        <v>959</v>
      </c>
      <c r="AC9" s="1">
        <f t="shared" ref="AC9" si="3">SUM(AC3:AC8)</f>
        <v>42</v>
      </c>
      <c r="AD9" s="1">
        <f t="shared" ref="AD9" si="4">SUM(AD3:AD8)</f>
        <v>13</v>
      </c>
      <c r="AE9" s="1">
        <f t="shared" ref="AE9" si="5">SUM(AE3:AE8)</f>
        <v>35</v>
      </c>
      <c r="AF9" s="1">
        <f t="shared" ref="AF9" si="6">SUM(AF3:AF8)</f>
        <v>949</v>
      </c>
      <c r="AG9" s="1">
        <f t="shared" ref="AG9" si="7">SUM(AG3:AG8)</f>
        <v>42</v>
      </c>
      <c r="AH9" s="1">
        <f t="shared" ref="AH9" si="8">SUM(AH3:AH8)</f>
        <v>13</v>
      </c>
    </row>
    <row r="10" spans="1:34">
      <c r="H10" s="6">
        <f>(H9-D9)/D9</f>
        <v>7.7007700770077006E-3</v>
      </c>
      <c r="L10" s="6">
        <f>(L9-D9)/D9</f>
        <v>-2.8602860286028604E-2</v>
      </c>
      <c r="P10" s="6">
        <f>(P9-D9)/D9</f>
        <v>-3.6303630363036306E-2</v>
      </c>
    </row>
  </sheetData>
  <mergeCells count="8">
    <mergeCell ref="W1:Z1"/>
    <mergeCell ref="AA1:AD1"/>
    <mergeCell ref="AE1:AH1"/>
    <mergeCell ref="C1:F1"/>
    <mergeCell ref="G1:J1"/>
    <mergeCell ref="K1:N1"/>
    <mergeCell ref="O1:R1"/>
    <mergeCell ref="S1:V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8517-AE04-3E4E-B5BB-4C5D322F3AE8}">
  <dimension ref="A1:K24"/>
  <sheetViews>
    <sheetView zoomScale="158" zoomScaleNormal="158"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J24" sqref="J2:J24"/>
    </sheetView>
  </sheetViews>
  <sheetFormatPr baseColWidth="10" defaultRowHeight="16"/>
  <cols>
    <col min="1" max="1" width="54" customWidth="1"/>
    <col min="2" max="4" width="6" bestFit="1" customWidth="1"/>
    <col min="5" max="6" width="5" bestFit="1" customWidth="1"/>
    <col min="7" max="7" width="5" customWidth="1"/>
    <col min="8" max="9" width="6" bestFit="1" customWidth="1"/>
    <col min="10" max="10" width="4.85546875" bestFit="1" customWidth="1"/>
    <col min="11" max="11" width="6.7109375" bestFit="1" customWidth="1"/>
  </cols>
  <sheetData>
    <row r="1" spans="1:11" s="1" customFormat="1">
      <c r="A1" s="1" t="s">
        <v>76</v>
      </c>
      <c r="B1" s="9" t="s">
        <v>145</v>
      </c>
      <c r="C1" s="9"/>
      <c r="D1" s="9"/>
      <c r="E1" s="9"/>
      <c r="F1" s="9"/>
      <c r="H1" s="1" t="s">
        <v>146</v>
      </c>
      <c r="I1" s="1" t="s">
        <v>147</v>
      </c>
      <c r="J1" s="1" t="s">
        <v>27</v>
      </c>
      <c r="K1" s="1" t="s">
        <v>148</v>
      </c>
    </row>
    <row r="2" spans="1:11">
      <c r="A2" t="s">
        <v>131</v>
      </c>
      <c r="B2">
        <v>3023</v>
      </c>
      <c r="C2">
        <v>3009</v>
      </c>
      <c r="D2">
        <v>2997</v>
      </c>
      <c r="E2">
        <v>2949</v>
      </c>
      <c r="F2">
        <v>2903</v>
      </c>
      <c r="H2">
        <f t="shared" ref="H2:H24" si="0">B2</f>
        <v>3023</v>
      </c>
      <c r="I2">
        <f>MIN(C2:F2)</f>
        <v>2903</v>
      </c>
      <c r="J2" s="8">
        <f t="shared" ref="J2:J10" si="1">I2-H2</f>
        <v>-120</v>
      </c>
      <c r="K2" s="6">
        <f>J2/H2</f>
        <v>-3.9695666556400923E-2</v>
      </c>
    </row>
    <row r="3" spans="1:11">
      <c r="A3" t="s">
        <v>132</v>
      </c>
      <c r="B3">
        <v>1413</v>
      </c>
      <c r="C3">
        <v>1389</v>
      </c>
      <c r="D3">
        <v>1367</v>
      </c>
      <c r="E3">
        <v>1364</v>
      </c>
      <c r="H3">
        <f t="shared" si="0"/>
        <v>1413</v>
      </c>
      <c r="I3">
        <f t="shared" ref="I3:I9" si="2">MIN(C3:F3)</f>
        <v>1364</v>
      </c>
      <c r="J3" s="8">
        <f t="shared" si="1"/>
        <v>-49</v>
      </c>
      <c r="K3" s="6">
        <f t="shared" ref="K3:K4" si="3">J3/H3</f>
        <v>-3.4677990092002828E-2</v>
      </c>
    </row>
    <row r="4" spans="1:11">
      <c r="A4" t="s">
        <v>133</v>
      </c>
      <c r="B4">
        <v>10094</v>
      </c>
      <c r="C4">
        <v>10056</v>
      </c>
      <c r="D4">
        <v>10025</v>
      </c>
      <c r="H4">
        <f t="shared" si="0"/>
        <v>10094</v>
      </c>
      <c r="I4">
        <f t="shared" si="2"/>
        <v>10025</v>
      </c>
      <c r="J4" s="8">
        <f t="shared" si="1"/>
        <v>-69</v>
      </c>
      <c r="K4" s="6">
        <f t="shared" si="3"/>
        <v>-6.8357440063403999E-3</v>
      </c>
    </row>
    <row r="5" spans="1:11">
      <c r="A5" t="s">
        <v>134</v>
      </c>
      <c r="B5">
        <v>74</v>
      </c>
      <c r="C5">
        <v>69</v>
      </c>
      <c r="H5">
        <f t="shared" si="0"/>
        <v>74</v>
      </c>
      <c r="I5">
        <f t="shared" si="2"/>
        <v>69</v>
      </c>
      <c r="J5" s="8">
        <f t="shared" si="1"/>
        <v>-5</v>
      </c>
      <c r="K5" s="6">
        <f t="shared" ref="K5:K10" si="4">J5/H5</f>
        <v>-6.7567567567567571E-2</v>
      </c>
    </row>
    <row r="6" spans="1:11">
      <c r="A6" t="s">
        <v>135</v>
      </c>
      <c r="B6">
        <v>142</v>
      </c>
      <c r="C6">
        <v>125</v>
      </c>
      <c r="H6">
        <f t="shared" si="0"/>
        <v>142</v>
      </c>
      <c r="I6">
        <f t="shared" si="2"/>
        <v>125</v>
      </c>
      <c r="J6" s="8">
        <f t="shared" si="1"/>
        <v>-17</v>
      </c>
      <c r="K6" s="6">
        <f t="shared" si="4"/>
        <v>-0.11971830985915492</v>
      </c>
    </row>
    <row r="7" spans="1:11">
      <c r="A7" t="s">
        <v>136</v>
      </c>
      <c r="B7">
        <v>146</v>
      </c>
      <c r="C7">
        <v>133</v>
      </c>
      <c r="H7">
        <f t="shared" si="0"/>
        <v>146</v>
      </c>
      <c r="I7">
        <f t="shared" si="2"/>
        <v>133</v>
      </c>
      <c r="J7" s="8">
        <f t="shared" si="1"/>
        <v>-13</v>
      </c>
      <c r="K7" s="6">
        <f t="shared" si="4"/>
        <v>-8.9041095890410954E-2</v>
      </c>
    </row>
    <row r="8" spans="1:11">
      <c r="A8" t="s">
        <v>137</v>
      </c>
      <c r="B8">
        <v>85</v>
      </c>
      <c r="C8">
        <v>71</v>
      </c>
      <c r="H8">
        <f t="shared" si="0"/>
        <v>85</v>
      </c>
      <c r="I8">
        <f t="shared" si="2"/>
        <v>71</v>
      </c>
      <c r="J8" s="8">
        <f t="shared" si="1"/>
        <v>-14</v>
      </c>
      <c r="K8" s="6">
        <f t="shared" si="4"/>
        <v>-0.16470588235294117</v>
      </c>
    </row>
    <row r="9" spans="1:11">
      <c r="A9" t="s">
        <v>138</v>
      </c>
      <c r="B9">
        <v>106</v>
      </c>
      <c r="C9">
        <v>102</v>
      </c>
      <c r="H9">
        <f t="shared" si="0"/>
        <v>106</v>
      </c>
      <c r="I9">
        <f t="shared" si="2"/>
        <v>102</v>
      </c>
      <c r="J9" s="8">
        <f t="shared" si="1"/>
        <v>-4</v>
      </c>
      <c r="K9" s="6">
        <f t="shared" si="4"/>
        <v>-3.7735849056603772E-2</v>
      </c>
    </row>
    <row r="10" spans="1:11">
      <c r="A10" t="s">
        <v>139</v>
      </c>
      <c r="B10">
        <v>121</v>
      </c>
      <c r="C10">
        <v>114</v>
      </c>
      <c r="D10">
        <v>40</v>
      </c>
      <c r="E10">
        <v>60</v>
      </c>
      <c r="H10">
        <f t="shared" si="0"/>
        <v>121</v>
      </c>
      <c r="I10">
        <f>E10</f>
        <v>60</v>
      </c>
      <c r="J10" s="8">
        <f t="shared" si="1"/>
        <v>-61</v>
      </c>
      <c r="K10" s="6">
        <f t="shared" si="4"/>
        <v>-0.50413223140495866</v>
      </c>
    </row>
    <row r="11" spans="1:11">
      <c r="A11" t="s">
        <v>140</v>
      </c>
      <c r="B11">
        <v>104</v>
      </c>
      <c r="C11">
        <v>97</v>
      </c>
      <c r="D11">
        <v>20</v>
      </c>
      <c r="E11">
        <v>38</v>
      </c>
      <c r="H11">
        <f t="shared" si="0"/>
        <v>104</v>
      </c>
      <c r="I11">
        <f t="shared" ref="I11:I14" si="5">E11</f>
        <v>38</v>
      </c>
      <c r="J11" s="8">
        <f t="shared" ref="J11:J14" si="6">I11-H11</f>
        <v>-66</v>
      </c>
      <c r="K11" s="6">
        <f t="shared" ref="K11:K14" si="7">J11/H11</f>
        <v>-0.63461538461538458</v>
      </c>
    </row>
    <row r="12" spans="1:11">
      <c r="A12" t="s">
        <v>141</v>
      </c>
      <c r="B12">
        <v>0</v>
      </c>
      <c r="D12">
        <v>125</v>
      </c>
      <c r="E12">
        <v>0</v>
      </c>
      <c r="H12">
        <f t="shared" si="0"/>
        <v>0</v>
      </c>
      <c r="I12">
        <f t="shared" si="5"/>
        <v>0</v>
      </c>
      <c r="J12" s="8">
        <f t="shared" si="6"/>
        <v>0</v>
      </c>
      <c r="K12" s="6" t="e">
        <f t="shared" si="7"/>
        <v>#DIV/0!</v>
      </c>
    </row>
    <row r="13" spans="1:11">
      <c r="A13" t="s">
        <v>142</v>
      </c>
      <c r="B13">
        <v>0</v>
      </c>
      <c r="E13">
        <v>54</v>
      </c>
      <c r="H13">
        <f t="shared" si="0"/>
        <v>0</v>
      </c>
      <c r="I13">
        <f t="shared" si="5"/>
        <v>54</v>
      </c>
      <c r="J13" s="8">
        <f t="shared" si="6"/>
        <v>54</v>
      </c>
      <c r="K13" s="6" t="e">
        <f t="shared" si="7"/>
        <v>#DIV/0!</v>
      </c>
    </row>
    <row r="14" spans="1:11">
      <c r="A14" t="s">
        <v>143</v>
      </c>
      <c r="B14">
        <v>0</v>
      </c>
      <c r="E14">
        <v>24</v>
      </c>
      <c r="H14">
        <f t="shared" si="0"/>
        <v>0</v>
      </c>
      <c r="I14">
        <f t="shared" si="5"/>
        <v>24</v>
      </c>
      <c r="J14" s="8">
        <f t="shared" si="6"/>
        <v>24</v>
      </c>
      <c r="K14" s="6" t="e">
        <f t="shared" si="7"/>
        <v>#DIV/0!</v>
      </c>
    </row>
    <row r="15" spans="1:11">
      <c r="A15" t="s">
        <v>144</v>
      </c>
      <c r="B15">
        <v>518</v>
      </c>
      <c r="C15">
        <v>507</v>
      </c>
      <c r="H15">
        <f t="shared" si="0"/>
        <v>518</v>
      </c>
      <c r="I15">
        <f t="shared" ref="I15:I16" si="8">MIN(C15:F15)</f>
        <v>507</v>
      </c>
      <c r="J15" s="8">
        <f t="shared" ref="J15:J16" si="9">I15-H15</f>
        <v>-11</v>
      </c>
      <c r="K15" s="6">
        <f t="shared" ref="K15:K16" si="10">J15/H15</f>
        <v>-2.1235521235521235E-2</v>
      </c>
    </row>
    <row r="16" spans="1:11">
      <c r="A16" t="s">
        <v>149</v>
      </c>
      <c r="B16">
        <v>871</v>
      </c>
      <c r="C16">
        <v>855</v>
      </c>
      <c r="H16">
        <f t="shared" si="0"/>
        <v>871</v>
      </c>
      <c r="I16">
        <f t="shared" si="8"/>
        <v>855</v>
      </c>
      <c r="J16" s="8">
        <f t="shared" si="9"/>
        <v>-16</v>
      </c>
      <c r="K16" s="6">
        <f t="shared" si="10"/>
        <v>-1.8369690011481057E-2</v>
      </c>
    </row>
    <row r="17" spans="1:11">
      <c r="A17" t="s">
        <v>150</v>
      </c>
      <c r="B17">
        <v>358</v>
      </c>
      <c r="C17">
        <v>344</v>
      </c>
      <c r="H17">
        <f t="shared" si="0"/>
        <v>358</v>
      </c>
      <c r="I17">
        <f t="shared" ref="I17" si="11">MIN(C17:F17)</f>
        <v>344</v>
      </c>
      <c r="J17" s="8">
        <f t="shared" ref="J17" si="12">I17-H17</f>
        <v>-14</v>
      </c>
      <c r="K17" s="6">
        <f t="shared" ref="K17" si="13">J17/H17</f>
        <v>-3.9106145251396648E-2</v>
      </c>
    </row>
    <row r="18" spans="1:11">
      <c r="A18" t="s">
        <v>151</v>
      </c>
      <c r="B18">
        <v>161</v>
      </c>
      <c r="C18">
        <v>147</v>
      </c>
      <c r="H18">
        <f t="shared" si="0"/>
        <v>161</v>
      </c>
      <c r="I18">
        <f t="shared" ref="I18:I19" si="14">MIN(C18:F18)</f>
        <v>147</v>
      </c>
      <c r="J18" s="8">
        <f t="shared" ref="J18:J19" si="15">I18-H18</f>
        <v>-14</v>
      </c>
      <c r="K18" s="6">
        <f t="shared" ref="K18:K19" si="16">J18/H18</f>
        <v>-8.6956521739130432E-2</v>
      </c>
    </row>
    <row r="19" spans="1:11">
      <c r="A19" t="s">
        <v>152</v>
      </c>
      <c r="B19">
        <v>982</v>
      </c>
      <c r="C19">
        <v>977</v>
      </c>
      <c r="D19">
        <v>967</v>
      </c>
      <c r="E19">
        <v>951</v>
      </c>
      <c r="F19">
        <v>479</v>
      </c>
      <c r="H19">
        <f t="shared" si="0"/>
        <v>982</v>
      </c>
      <c r="I19">
        <f t="shared" si="14"/>
        <v>479</v>
      </c>
      <c r="J19" s="8">
        <f t="shared" si="15"/>
        <v>-503</v>
      </c>
      <c r="K19" s="6">
        <f t="shared" si="16"/>
        <v>-0.51221995926680242</v>
      </c>
    </row>
    <row r="20" spans="1:11">
      <c r="A20" t="s">
        <v>153</v>
      </c>
      <c r="B20">
        <v>0</v>
      </c>
      <c r="F20">
        <v>235</v>
      </c>
      <c r="H20">
        <f t="shared" si="0"/>
        <v>0</v>
      </c>
      <c r="I20">
        <f t="shared" ref="I20" si="17">MIN(C20:F20)</f>
        <v>235</v>
      </c>
      <c r="J20" s="8">
        <f t="shared" ref="J20" si="18">I20-H20</f>
        <v>235</v>
      </c>
      <c r="K20" s="6" t="e">
        <f t="shared" ref="K20" si="19">J20/H20</f>
        <v>#DIV/0!</v>
      </c>
    </row>
    <row r="21" spans="1:11">
      <c r="A21" t="s">
        <v>154</v>
      </c>
      <c r="B21">
        <v>245</v>
      </c>
      <c r="C21">
        <v>233</v>
      </c>
      <c r="D21">
        <v>224</v>
      </c>
      <c r="H21">
        <f t="shared" si="0"/>
        <v>245</v>
      </c>
      <c r="I21">
        <f t="shared" ref="I21" si="20">MIN(C21:F21)</f>
        <v>224</v>
      </c>
      <c r="J21" s="8">
        <f t="shared" ref="J21" si="21">I21-H21</f>
        <v>-21</v>
      </c>
      <c r="K21" s="6">
        <f t="shared" ref="K21" si="22">J21/H21</f>
        <v>-8.5714285714285715E-2</v>
      </c>
    </row>
    <row r="22" spans="1:11">
      <c r="A22" t="s">
        <v>155</v>
      </c>
      <c r="B22">
        <v>1918</v>
      </c>
      <c r="C22">
        <v>1882</v>
      </c>
      <c r="H22">
        <f t="shared" si="0"/>
        <v>1918</v>
      </c>
      <c r="I22">
        <f t="shared" ref="I22:I23" si="23">MIN(C22:F22)</f>
        <v>1882</v>
      </c>
      <c r="J22" s="8">
        <f t="shared" ref="J22:J23" si="24">I22-H22</f>
        <v>-36</v>
      </c>
      <c r="K22" s="6">
        <f t="shared" ref="K22:K23" si="25">J22/H22</f>
        <v>-1.8769551616266946E-2</v>
      </c>
    </row>
    <row r="23" spans="1:11">
      <c r="A23" t="s">
        <v>156</v>
      </c>
      <c r="B23">
        <v>183</v>
      </c>
      <c r="C23">
        <v>172</v>
      </c>
      <c r="H23">
        <f t="shared" si="0"/>
        <v>183</v>
      </c>
      <c r="I23">
        <f t="shared" si="23"/>
        <v>172</v>
      </c>
      <c r="J23" s="8">
        <f t="shared" si="24"/>
        <v>-11</v>
      </c>
      <c r="K23" s="6">
        <f t="shared" si="25"/>
        <v>-6.0109289617486336E-2</v>
      </c>
    </row>
    <row r="24" spans="1:11">
      <c r="A24" t="s">
        <v>157</v>
      </c>
      <c r="B24">
        <v>107</v>
      </c>
      <c r="C24">
        <v>94</v>
      </c>
      <c r="D24">
        <v>93</v>
      </c>
      <c r="H24">
        <f t="shared" si="0"/>
        <v>107</v>
      </c>
      <c r="I24">
        <f t="shared" ref="I24" si="26">MIN(C24:F24)</f>
        <v>93</v>
      </c>
      <c r="J24" s="8">
        <f t="shared" ref="J24" si="27">I24-H24</f>
        <v>-14</v>
      </c>
      <c r="K24" s="6">
        <f t="shared" ref="K24" si="28">J24/H24</f>
        <v>-0.13084112149532709</v>
      </c>
    </row>
  </sheetData>
  <mergeCells count="1">
    <mergeCell ref="B1:F1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FDF44-9379-3942-B963-F6E0C991A132}">
  <dimension ref="A2:C6"/>
  <sheetViews>
    <sheetView tabSelected="1" zoomScale="158" zoomScaleNormal="158" workbookViewId="0">
      <selection activeCell="D5" sqref="D5"/>
    </sheetView>
  </sheetViews>
  <sheetFormatPr baseColWidth="10" defaultRowHeight="16"/>
  <cols>
    <col min="1" max="1" width="29.42578125" bestFit="1" customWidth="1"/>
    <col min="2" max="3" width="4" bestFit="1" customWidth="1"/>
  </cols>
  <sheetData>
    <row r="2" spans="1:3">
      <c r="A2" t="s">
        <v>158</v>
      </c>
      <c r="B2">
        <v>179</v>
      </c>
      <c r="C2">
        <v>175</v>
      </c>
    </row>
    <row r="3" spans="1:3">
      <c r="A3" t="s">
        <v>159</v>
      </c>
      <c r="B3">
        <v>179</v>
      </c>
      <c r="C3">
        <v>175</v>
      </c>
    </row>
    <row r="4" spans="1:3">
      <c r="A4" t="s">
        <v>160</v>
      </c>
      <c r="B4">
        <v>244</v>
      </c>
      <c r="C4">
        <v>243</v>
      </c>
    </row>
    <row r="5" spans="1:3">
      <c r="A5" t="s">
        <v>161</v>
      </c>
      <c r="B5">
        <v>109</v>
      </c>
      <c r="C5">
        <v>107</v>
      </c>
    </row>
    <row r="6" spans="1:3">
      <c r="A6" t="s">
        <v>162</v>
      </c>
      <c r="B6">
        <v>129</v>
      </c>
      <c r="C6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Chemistry.cs</vt:lpstr>
      <vt:lpstr>EnzymeKinematic</vt:lpstr>
      <vt:lpstr>void OutputEnzymeKinematic</vt:lpstr>
      <vt:lpstr>LinearRegression.cs</vt:lpstr>
      <vt:lpstr>Student</vt:lpstr>
      <vt:lpstr>Matrix.cs</vt:lpstr>
      <vt:lpstr>ExtraMath_decimal.cs</vt:lpstr>
      <vt:lpstr>void OutputLinearRegression2</vt:lpstr>
      <vt:lpstr>Console.Write</vt:lpstr>
      <vt:lpstr>String.Format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2024-07-03T12:03:39Z</dcterms:created>
  <dcterms:modified xsi:type="dcterms:W3CDTF">2025-06-07T23:48:32Z</dcterms:modified>
</cp:coreProperties>
</file>
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C965DA2D-24E0-7F4A-AC4F-14856AA9BCF5}" xr6:coauthVersionLast="47" xr6:coauthVersionMax="47" xr10:uidLastSave="{00000000-0000-0000-0000-000000000000}"/>
  <bookViews>
    <workbookView xWindow="0" yWindow="500" windowWidth="24960" windowHeight="15500" activeTab="6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  <sheet name="ExtraMath_decimal.c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7" l="1"/>
  <c r="E34" i="7"/>
  <c r="C33" i="7"/>
  <c r="D33" i="7"/>
  <c r="E33" i="7"/>
  <c r="F33" i="7"/>
  <c r="G33" i="7"/>
  <c r="B33" i="7"/>
  <c r="C22" i="7"/>
  <c r="D22" i="7"/>
  <c r="E22" i="7"/>
  <c r="F22" i="7"/>
  <c r="G22" i="7"/>
  <c r="H22" i="7"/>
  <c r="I22" i="7"/>
  <c r="J22" i="7"/>
  <c r="B22" i="7"/>
  <c r="N7" i="6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P9" i="4"/>
  <c r="P8" i="4"/>
  <c r="P7" i="4"/>
  <c r="Q7" i="4"/>
  <c r="R7" i="4"/>
  <c r="L7" i="4"/>
  <c r="E7" i="4"/>
  <c r="F7" i="4"/>
  <c r="G7" i="4"/>
  <c r="H7" i="4"/>
  <c r="I7" i="4"/>
  <c r="J7" i="4"/>
  <c r="K7" i="4"/>
  <c r="M7" i="4"/>
  <c r="N7" i="4"/>
  <c r="O7" i="4"/>
  <c r="D7" i="4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</calcChain>
</file>

<file path=xl/sharedStrings.xml><?xml version="1.0" encoding="utf-8"?>
<sst xmlns="http://schemas.openxmlformats.org/spreadsheetml/2006/main" count="174" uniqueCount="101">
  <si>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</si>
  <si>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</si>
  <si>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</si>
  <si>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</si>
  <si>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</si>
  <si>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</si>
  <si>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</si>
  <si>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</si>
  <si>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</si>
  <si>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</si>
  <si>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</si>
  <si>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</si>
  <si>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</si>
  <si>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</si>
  <si>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</si>
  <si>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</si>
  <si>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</si>
  <si>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</si>
  <si>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</si>
  <si>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</si>
  <si>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</si>
  <si>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</si>
  <si>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</si>
  <si>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</si>
  <si>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</si>
  <si>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</si>
  <si>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</si>
  <si>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</si>
  <si>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</si>
  <si>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</si>
  <si>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</si>
  <si>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</si>
  <si>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</si>
  <si>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</si>
  <si>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</si>
  <si>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</si>
  <si>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</si>
  <si>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</si>
  <si>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</si>
  <si>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</si>
  <si>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</si>
  <si>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</si>
  <si>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</si>
  <si>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</si>
  <si>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</si>
  <si>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</si>
  <si>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</si>
  <si>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</si>
  <si>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</si>
  <si>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</si>
  <si>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</si>
  <si>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</si>
  <si>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</si>
  <si>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</si>
  <si>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</si>
  <si>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</si>
  <si>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</si>
  <si>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</si>
  <si>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</si>
  <si>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</si>
  <si>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</si>
  <si>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</si>
  <si>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</si>
  <si>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</si>
  <si>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</si>
  <si>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</si>
  <si>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</si>
  <si>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</si>
  <si>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</si>
  <si>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</si>
  <si>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</si>
  <si>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</si>
  <si>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</si>
  <si>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</si>
  <si>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</si>
  <si>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</si>
  <si>
    <t>Method</t>
  </si>
  <si>
    <t>Iteration 0</t>
  </si>
  <si>
    <t>Exp</t>
  </si>
  <si>
    <t>Pow(decimal, decimal)</t>
  </si>
  <si>
    <t>Pow(decimal, int)</t>
  </si>
  <si>
    <t>IsInteger</t>
  </si>
  <si>
    <t>Log</t>
  </si>
  <si>
    <t>Log10</t>
  </si>
  <si>
    <t>Cos</t>
  </si>
  <si>
    <t>Tan</t>
  </si>
  <si>
    <t>CalculateSinFromCos</t>
  </si>
  <si>
    <t>Sin</t>
  </si>
  <si>
    <t>TruncateToPeriodicInterval</t>
  </si>
  <si>
    <t>IsSignOfSinePositive</t>
  </si>
  <si>
    <t>Sinh</t>
  </si>
  <si>
    <t>Cosh</t>
  </si>
  <si>
    <t>Tanh</t>
  </si>
  <si>
    <t>Asin</t>
  </si>
  <si>
    <t>Atan</t>
  </si>
  <si>
    <t>Acos</t>
  </si>
  <si>
    <t>Atan2</t>
  </si>
  <si>
    <t>Sqrt</t>
  </si>
  <si>
    <t>ExpBySquaring</t>
  </si>
  <si>
    <t>GetDecimalPlaces</t>
  </si>
  <si>
    <t>Remainder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</si>
</sst>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164" fontId="0" fillId="0" borderId="0" xfId="1" applyNumberFormat="1" applyFont="1"/>
    <xf numFmtId="9" fontId="0" fillId="0" borderId="0" xfId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2" borderId="0" xfId="2"/>
  </cellXfs>
  <cellStyles count="3">
    <cellStyle name="Normal" xfId="0" builtinId="0"/>
    <cellStyle name="Pourcentage" xfId="1" builtinId="5"/>
    <cellStyle name="Satisfaisant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F9" sqref="F9"/>
    </sheetView>
  </sheetViews>
  <sheetFormatPr baseColWidth="10" defaultRowHeight="16" x14ac:dyDescent="0.2"/>
  <cols>
    <col min="1" max="1" width="28.6640625" bestFit="1" customWidth="1"/>
    <col min="2" max="2" width="4.1640625" bestFit="1" customWidth="1"/>
    <col min="3" max="3" width="5.5" bestFit="1" customWidth="1"/>
    <col min="4" max="4" width="6" bestFit="1" customWidth="1"/>
    <col min="5" max="5" width="4.83203125" bestFit="1" customWidth="1"/>
    <col min="6" max="6" width="5.5" bestFit="1" customWidth="1"/>
    <col min="7" max="7" width="6" bestFit="1" customWidth="1"/>
  </cols>
  <sheetData>
    <row r="1" spans="1:7" x14ac:dyDescent="0.2">
      <c r="B1" s="4" t="s">
        <v>6</v>
      </c>
      <c r="C1" s="4"/>
      <c r="D1" s="4"/>
      <c r="E1" s="4" t="s">
        <v>25</v>
      </c>
      <c r="F1" s="4"/>
      <c r="G1" s="4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 x14ac:dyDescent="0.2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 x14ac:dyDescent="0.2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 x14ac:dyDescent="0.2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 x14ac:dyDescent="0.2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 x14ac:dyDescent="0.2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 x14ac:dyDescent="0.2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 x14ac:dyDescent="0.2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 x14ac:dyDescent="0.2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 x14ac:dyDescent="0.2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 x14ac:dyDescent="0.2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activeCell="C1" sqref="C1"/>
    </sheetView>
  </sheetViews>
  <sheetFormatPr baseColWidth="10" defaultRowHeight="16" x14ac:dyDescent="0.2"/>
  <cols>
    <col min="1" max="1" width="27.83203125" bestFit="1" customWidth="1"/>
    <col min="2" max="2" width="12.33203125" bestFit="1" customWidth="1"/>
    <col min="3" max="3" width="5.6640625" bestFit="1" customWidth="1"/>
  </cols>
  <sheetData>
    <row r="1" spans="1:3" x14ac:dyDescent="0.2">
      <c r="A1" t="s">
        <v>26</v>
      </c>
      <c r="B1" t="s">
        <v>0</v>
      </c>
      <c r="C1" t="s">
        <v>27</v>
      </c>
    </row>
    <row r="2" spans="1:3" x14ac:dyDescent="0.2">
      <c r="A2" t="s">
        <v>15</v>
      </c>
      <c r="B2" t="s">
        <v>14</v>
      </c>
      <c r="C2">
        <v>-14</v>
      </c>
    </row>
    <row r="3" spans="1:3" x14ac:dyDescent="0.2">
      <c r="A3" t="s">
        <v>15</v>
      </c>
      <c r="B3" t="s">
        <v>16</v>
      </c>
      <c r="C3">
        <f>(50+103)-207</f>
        <v>-54</v>
      </c>
    </row>
    <row r="4" spans="1:3" x14ac:dyDescent="0.2">
      <c r="A4" t="s">
        <v>20</v>
      </c>
      <c r="B4" t="s">
        <v>21</v>
      </c>
      <c r="C4">
        <f>6*-14</f>
        <v>-84</v>
      </c>
    </row>
    <row r="5" spans="1:3" x14ac:dyDescent="0.2">
      <c r="A5" t="s">
        <v>17</v>
      </c>
      <c r="B5" t="s">
        <v>18</v>
      </c>
      <c r="C5">
        <f>88-108</f>
        <v>-20</v>
      </c>
    </row>
    <row r="6" spans="1:3" x14ac:dyDescent="0.2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F8" sqref="F8"/>
    </sheetView>
  </sheetViews>
  <sheetFormatPr baseColWidth="10" defaultRowHeight="16" x14ac:dyDescent="0.2"/>
  <cols>
    <col min="1" max="1" width="29.33203125" bestFit="1" customWidth="1"/>
    <col min="2" max="2" width="16" bestFit="1" customWidth="1"/>
    <col min="3" max="4" width="4.1640625" bestFit="1" customWidth="1"/>
    <col min="5" max="5" width="5.1640625" bestFit="1" customWidth="1"/>
    <col min="6" max="6" width="4.1640625" bestFit="1" customWidth="1"/>
  </cols>
  <sheetData>
    <row r="1" spans="1:6" x14ac:dyDescent="0.2">
      <c r="A1" t="s">
        <v>0</v>
      </c>
      <c r="B1" t="s">
        <v>30</v>
      </c>
      <c r="C1" t="s">
        <v>28</v>
      </c>
      <c r="D1" t="s">
        <v>29</v>
      </c>
      <c r="E1" t="s">
        <v>31</v>
      </c>
      <c r="F1" t="s">
        <v>37</v>
      </c>
    </row>
    <row r="2" spans="1:6" x14ac:dyDescent="0.2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 x14ac:dyDescent="0.2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 x14ac:dyDescent="0.2">
      <c r="A4" t="s">
        <v>32</v>
      </c>
      <c r="B4" t="s">
        <v>23</v>
      </c>
      <c r="C4">
        <v>47</v>
      </c>
      <c r="D4">
        <v>60</v>
      </c>
    </row>
    <row r="5" spans="1:6" x14ac:dyDescent="0.2">
      <c r="A5" t="s">
        <v>32</v>
      </c>
      <c r="B5" t="s">
        <v>33</v>
      </c>
      <c r="E5">
        <v>64</v>
      </c>
      <c r="F5">
        <v>64</v>
      </c>
    </row>
    <row r="6" spans="1:6" x14ac:dyDescent="0.2">
      <c r="A6" t="s">
        <v>34</v>
      </c>
      <c r="B6" t="s">
        <v>35</v>
      </c>
      <c r="F6">
        <v>13</v>
      </c>
    </row>
    <row r="7" spans="1:6" x14ac:dyDescent="0.2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 x14ac:dyDescent="0.2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 x14ac:dyDescent="0.2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R9"/>
  <sheetViews>
    <sheetView zoomScale="130" zoomScaleNormal="130" workbookViewId="0">
      <selection activeCell="D2" sqref="D2:I2"/>
    </sheetView>
  </sheetViews>
  <sheetFormatPr baseColWidth="10" defaultRowHeight="16" x14ac:dyDescent="0.2"/>
  <cols>
    <col min="1" max="1" width="15.1640625" bestFit="1" customWidth="1"/>
    <col min="2" max="2" width="8.6640625" bestFit="1" customWidth="1"/>
    <col min="3" max="3" width="19.33203125" bestFit="1" customWidth="1"/>
    <col min="4" max="4" width="5.1640625" bestFit="1" customWidth="1"/>
    <col min="5" max="5" width="5.5" bestFit="1" customWidth="1"/>
    <col min="6" max="6" width="6" bestFit="1" customWidth="1"/>
    <col min="7" max="7" width="5.1640625" bestFit="1" customWidth="1"/>
    <col min="8" max="8" width="5.5" bestFit="1" customWidth="1"/>
    <col min="9" max="9" width="6" bestFit="1" customWidth="1"/>
    <col min="10" max="10" width="5.1640625" bestFit="1" customWidth="1"/>
    <col min="11" max="11" width="5.5" bestFit="1" customWidth="1"/>
    <col min="12" max="12" width="6" bestFit="1" customWidth="1"/>
    <col min="13" max="13" width="5.1640625" bestFit="1" customWidth="1"/>
    <col min="14" max="14" width="5.5" bestFit="1" customWidth="1"/>
    <col min="15" max="15" width="6" bestFit="1" customWidth="1"/>
    <col min="16" max="16" width="6.83203125" bestFit="1" customWidth="1"/>
    <col min="17" max="17" width="5.5" bestFit="1" customWidth="1"/>
    <col min="18" max="18" width="6" bestFit="1" customWidth="1"/>
  </cols>
  <sheetData>
    <row r="1" spans="1:18" x14ac:dyDescent="0.2">
      <c r="D1" s="4" t="s">
        <v>6</v>
      </c>
      <c r="E1" s="4"/>
      <c r="F1" s="4"/>
      <c r="G1" s="4" t="s">
        <v>25</v>
      </c>
      <c r="H1" s="4"/>
      <c r="I1" s="4"/>
      <c r="J1" s="4" t="s">
        <v>44</v>
      </c>
      <c r="K1" s="4"/>
      <c r="L1" s="4"/>
      <c r="M1" s="4" t="s">
        <v>46</v>
      </c>
      <c r="N1" s="4"/>
      <c r="O1" s="4"/>
      <c r="P1" s="4" t="s">
        <v>47</v>
      </c>
      <c r="Q1" s="4"/>
      <c r="R1" s="4"/>
    </row>
    <row r="2" spans="1:18" x14ac:dyDescent="0.2">
      <c r="A2" t="s">
        <v>39</v>
      </c>
      <c r="B2" t="s">
        <v>0</v>
      </c>
      <c r="C2" t="s">
        <v>30</v>
      </c>
      <c r="D2" t="s">
        <v>1</v>
      </c>
      <c r="E2" t="s">
        <v>2</v>
      </c>
      <c r="F2" t="s">
        <v>3</v>
      </c>
      <c r="G2" t="s">
        <v>1</v>
      </c>
      <c r="H2" t="s">
        <v>2</v>
      </c>
      <c r="I2" t="s">
        <v>3</v>
      </c>
      <c r="J2" t="s">
        <v>1</v>
      </c>
      <c r="K2" t="s">
        <v>2</v>
      </c>
      <c r="L2" t="s">
        <v>3</v>
      </c>
      <c r="M2" t="s">
        <v>1</v>
      </c>
      <c r="N2" t="s">
        <v>2</v>
      </c>
      <c r="O2" t="s">
        <v>3</v>
      </c>
      <c r="P2" t="s">
        <v>1</v>
      </c>
      <c r="Q2" t="s">
        <v>2</v>
      </c>
      <c r="R2" t="s">
        <v>3</v>
      </c>
    </row>
    <row r="3" spans="1:18" x14ac:dyDescent="0.2">
      <c r="A3" t="s">
        <v>40</v>
      </c>
      <c r="B3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</row>
    <row r="4" spans="1:18" x14ac:dyDescent="0.2">
      <c r="A4" t="s">
        <v>40</v>
      </c>
      <c r="B4" t="s">
        <v>41</v>
      </c>
      <c r="C4" t="s">
        <v>43</v>
      </c>
      <c r="D4">
        <v>297</v>
      </c>
      <c r="E4">
        <v>5</v>
      </c>
      <c r="F4">
        <v>8</v>
      </c>
      <c r="G4">
        <v>287</v>
      </c>
      <c r="H4">
        <v>4</v>
      </c>
      <c r="I4">
        <v>9</v>
      </c>
      <c r="J4">
        <v>282</v>
      </c>
      <c r="K4">
        <v>4</v>
      </c>
      <c r="L4">
        <v>11</v>
      </c>
      <c r="M4">
        <v>263</v>
      </c>
      <c r="N4">
        <v>4</v>
      </c>
      <c r="O4">
        <v>10</v>
      </c>
      <c r="P4">
        <v>263</v>
      </c>
      <c r="Q4">
        <v>4</v>
      </c>
      <c r="R4">
        <v>10</v>
      </c>
    </row>
    <row r="5" spans="1:18" x14ac:dyDescent="0.2">
      <c r="A5" t="s">
        <v>45</v>
      </c>
      <c r="B5" t="s">
        <v>41</v>
      </c>
      <c r="C5" t="s">
        <v>42</v>
      </c>
      <c r="D5">
        <v>493</v>
      </c>
      <c r="E5">
        <v>12</v>
      </c>
      <c r="F5">
        <v>19</v>
      </c>
      <c r="G5">
        <v>471</v>
      </c>
      <c r="H5">
        <v>12</v>
      </c>
      <c r="I5">
        <v>21</v>
      </c>
      <c r="J5">
        <v>461</v>
      </c>
      <c r="K5">
        <v>12</v>
      </c>
      <c r="L5">
        <v>19</v>
      </c>
      <c r="M5">
        <v>453</v>
      </c>
      <c r="N5">
        <v>12</v>
      </c>
      <c r="O5">
        <v>16</v>
      </c>
      <c r="P5">
        <v>447</v>
      </c>
      <c r="Q5">
        <v>12</v>
      </c>
      <c r="R5">
        <v>16</v>
      </c>
    </row>
    <row r="6" spans="1:18" x14ac:dyDescent="0.2">
      <c r="A6" t="s">
        <v>45</v>
      </c>
      <c r="B6" t="s">
        <v>41</v>
      </c>
      <c r="C6" t="s">
        <v>43</v>
      </c>
      <c r="D6">
        <v>596</v>
      </c>
      <c r="E6">
        <v>12</v>
      </c>
      <c r="F6">
        <v>19</v>
      </c>
      <c r="G6">
        <v>568</v>
      </c>
      <c r="H6">
        <v>12</v>
      </c>
      <c r="I6">
        <v>21</v>
      </c>
      <c r="J6">
        <v>558</v>
      </c>
      <c r="K6">
        <v>12</v>
      </c>
      <c r="L6">
        <v>19</v>
      </c>
      <c r="M6">
        <v>550</v>
      </c>
      <c r="N6">
        <v>12</v>
      </c>
      <c r="O6">
        <v>16</v>
      </c>
      <c r="P6">
        <v>543</v>
      </c>
      <c r="Q6">
        <v>12</v>
      </c>
      <c r="R6">
        <v>16</v>
      </c>
    </row>
    <row r="7" spans="1:18" x14ac:dyDescent="0.2">
      <c r="D7" s="1">
        <f>SUM(D3:D6)</f>
        <v>1661</v>
      </c>
      <c r="E7" s="1">
        <f t="shared" ref="E7:O7" si="0">SUM(E3:E6)</f>
        <v>34</v>
      </c>
      <c r="F7" s="1">
        <f t="shared" si="0"/>
        <v>54</v>
      </c>
      <c r="G7" s="1">
        <f t="shared" si="0"/>
        <v>1588</v>
      </c>
      <c r="H7" s="1">
        <f t="shared" si="0"/>
        <v>32</v>
      </c>
      <c r="I7" s="1">
        <f t="shared" si="0"/>
        <v>60</v>
      </c>
      <c r="J7" s="1">
        <f t="shared" si="0"/>
        <v>1561</v>
      </c>
      <c r="K7" s="1">
        <f t="shared" si="0"/>
        <v>32</v>
      </c>
      <c r="L7" s="1">
        <f>SUM(L3:L6)</f>
        <v>60</v>
      </c>
      <c r="M7" s="1">
        <f t="shared" si="0"/>
        <v>1507</v>
      </c>
      <c r="N7" s="1">
        <f t="shared" si="0"/>
        <v>32</v>
      </c>
      <c r="O7" s="1">
        <f t="shared" si="0"/>
        <v>52</v>
      </c>
      <c r="P7" s="1">
        <f t="shared" ref="P7" si="1">SUM(P3:P6)</f>
        <v>1494</v>
      </c>
      <c r="Q7" s="1">
        <f t="shared" ref="Q7" si="2">SUM(Q3:Q6)</f>
        <v>32</v>
      </c>
      <c r="R7" s="1">
        <f t="shared" ref="R7" si="3">SUM(R3:R6)</f>
        <v>52</v>
      </c>
    </row>
    <row r="8" spans="1:18" x14ac:dyDescent="0.2">
      <c r="P8">
        <f>P7-D7</f>
        <v>-167</v>
      </c>
    </row>
    <row r="9" spans="1:18" x14ac:dyDescent="0.2">
      <c r="P9" s="2">
        <f>P8/D7</f>
        <v>-0.10054184226369657</v>
      </c>
    </row>
  </sheetData>
  <mergeCells count="5">
    <mergeCell ref="D1:F1"/>
    <mergeCell ref="G1:I1"/>
    <mergeCell ref="J1:L1"/>
    <mergeCell ref="M1:O1"/>
    <mergeCell ref="P1: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activeCell="G7" sqref="G7"/>
    </sheetView>
  </sheetViews>
  <sheetFormatPr baseColWidth="10" defaultRowHeight="16" x14ac:dyDescent="0.2"/>
  <cols>
    <col min="1" max="1" width="22.1640625" bestFit="1" customWidth="1"/>
    <col min="2" max="2" width="5.1640625" bestFit="1" customWidth="1"/>
    <col min="3" max="3" width="5.5" bestFit="1" customWidth="1"/>
    <col min="4" max="4" width="6" bestFit="1" customWidth="1"/>
    <col min="5" max="5" width="5.33203125" bestFit="1" customWidth="1"/>
    <col min="6" max="6" width="5.5" bestFit="1" customWidth="1"/>
    <col min="7" max="7" width="6" bestFit="1" customWidth="1"/>
  </cols>
  <sheetData>
    <row r="1" spans="1:7" x14ac:dyDescent="0.2">
      <c r="B1" s="4" t="s">
        <v>48</v>
      </c>
      <c r="C1" s="4"/>
      <c r="D1" s="4"/>
      <c r="E1" s="4" t="s">
        <v>49</v>
      </c>
      <c r="F1" s="4"/>
      <c r="G1" s="4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50</v>
      </c>
      <c r="E3">
        <v>20</v>
      </c>
      <c r="F3">
        <v>2</v>
      </c>
      <c r="G3">
        <v>1</v>
      </c>
    </row>
    <row r="4" spans="1:7" x14ac:dyDescent="0.2">
      <c r="A4" t="s">
        <v>52</v>
      </c>
      <c r="B4">
        <v>127</v>
      </c>
      <c r="C4">
        <v>4</v>
      </c>
      <c r="D4">
        <v>4</v>
      </c>
    </row>
    <row r="5" spans="1:7" x14ac:dyDescent="0.2">
      <c r="A5" t="s">
        <v>51</v>
      </c>
      <c r="B5">
        <v>29</v>
      </c>
      <c r="C5">
        <v>3</v>
      </c>
      <c r="D5">
        <v>1</v>
      </c>
    </row>
    <row r="6" spans="1:7" x14ac:dyDescent="0.2">
      <c r="A6" t="s">
        <v>53</v>
      </c>
      <c r="B6">
        <v>153</v>
      </c>
      <c r="C6">
        <v>6</v>
      </c>
      <c r="D6">
        <v>4</v>
      </c>
    </row>
    <row r="7" spans="1:7" x14ac:dyDescent="0.2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 x14ac:dyDescent="0.2">
      <c r="A8" t="s">
        <v>55</v>
      </c>
      <c r="B8">
        <v>284</v>
      </c>
      <c r="C8">
        <v>6</v>
      </c>
      <c r="D8">
        <v>6</v>
      </c>
    </row>
    <row r="9" spans="1:7" x14ac:dyDescent="0.2">
      <c r="A9" t="s">
        <v>56</v>
      </c>
      <c r="E9">
        <v>45</v>
      </c>
      <c r="F9">
        <v>4</v>
      </c>
      <c r="G9">
        <v>1</v>
      </c>
    </row>
    <row r="10" spans="1:7" x14ac:dyDescent="0.2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 x14ac:dyDescent="0.2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 x14ac:dyDescent="0.2">
      <c r="A12" t="s">
        <v>59</v>
      </c>
      <c r="B12">
        <v>44</v>
      </c>
      <c r="C12">
        <v>2</v>
      </c>
      <c r="D12">
        <v>4</v>
      </c>
    </row>
    <row r="13" spans="1:7" x14ac:dyDescent="0.2">
      <c r="A13" t="s">
        <v>60</v>
      </c>
      <c r="E13">
        <v>64</v>
      </c>
      <c r="F13">
        <v>4</v>
      </c>
      <c r="G13">
        <v>2</v>
      </c>
    </row>
    <row r="14" spans="1:7" x14ac:dyDescent="0.2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 x14ac:dyDescent="0.2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 x14ac:dyDescent="0.2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 x14ac:dyDescent="0.2">
      <c r="A17" t="s">
        <v>64</v>
      </c>
      <c r="E17">
        <v>34</v>
      </c>
      <c r="F17">
        <v>8</v>
      </c>
      <c r="G17">
        <v>0</v>
      </c>
    </row>
    <row r="18" spans="1:7" x14ac:dyDescent="0.2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 x14ac:dyDescent="0.2">
      <c r="E19">
        <f>E18-B18</f>
        <v>-752</v>
      </c>
    </row>
    <row r="20" spans="1:7" x14ac:dyDescent="0.2">
      <c r="E20" s="3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zoomScale="130" zoomScaleNormal="130" workbookViewId="0">
      <selection activeCell="Q14" sqref="Q14"/>
    </sheetView>
  </sheetViews>
  <sheetFormatPr baseColWidth="10" defaultRowHeight="16" x14ac:dyDescent="0.2"/>
  <cols>
    <col min="1" max="1" width="15.5" bestFit="1" customWidth="1"/>
    <col min="2" max="2" width="5.5" bestFit="1" customWidth="1"/>
    <col min="3" max="3" width="5.6640625" bestFit="1" customWidth="1"/>
    <col min="4" max="4" width="6.33203125" bestFit="1" customWidth="1"/>
    <col min="5" max="5" width="5.5" bestFit="1" customWidth="1"/>
    <col min="6" max="6" width="5.6640625" bestFit="1" customWidth="1"/>
    <col min="7" max="7" width="6.33203125" bestFit="1" customWidth="1"/>
    <col min="8" max="8" width="5.5" bestFit="1" customWidth="1"/>
    <col min="9" max="9" width="5.6640625" bestFit="1" customWidth="1"/>
    <col min="10" max="10" width="6.33203125" bestFit="1" customWidth="1"/>
    <col min="11" max="11" width="5.5" bestFit="1" customWidth="1"/>
    <col min="12" max="12" width="5.6640625" bestFit="1" customWidth="1"/>
    <col min="13" max="13" width="6.33203125" bestFit="1" customWidth="1"/>
    <col min="14" max="14" width="5.5" bestFit="1" customWidth="1"/>
    <col min="15" max="15" width="5.6640625" bestFit="1" customWidth="1"/>
    <col min="16" max="16" width="6.33203125" bestFit="1" customWidth="1"/>
  </cols>
  <sheetData>
    <row r="1" spans="1:16" x14ac:dyDescent="0.2">
      <c r="B1" s="4" t="s">
        <v>69</v>
      </c>
      <c r="C1" s="4"/>
      <c r="D1" s="4"/>
      <c r="E1" s="4" t="s">
        <v>72</v>
      </c>
      <c r="F1" s="4"/>
      <c r="G1" s="4"/>
      <c r="H1" s="4" t="s">
        <v>73</v>
      </c>
      <c r="I1" s="4"/>
      <c r="J1" s="4"/>
      <c r="K1" s="4" t="s">
        <v>74</v>
      </c>
      <c r="L1" s="4"/>
      <c r="M1" s="4"/>
      <c r="N1" s="4" t="s">
        <v>75</v>
      </c>
      <c r="O1" s="4"/>
      <c r="P1" s="4"/>
    </row>
    <row r="2" spans="1:16" x14ac:dyDescent="0.2">
      <c r="A2" t="s">
        <v>68</v>
      </c>
      <c r="B2" t="s">
        <v>65</v>
      </c>
      <c r="C2" t="s">
        <v>66</v>
      </c>
      <c r="D2" t="s">
        <v>67</v>
      </c>
      <c r="E2" t="s">
        <v>65</v>
      </c>
      <c r="F2" t="s">
        <v>66</v>
      </c>
      <c r="G2" t="s">
        <v>67</v>
      </c>
      <c r="H2" t="s">
        <v>65</v>
      </c>
      <c r="I2" t="s">
        <v>66</v>
      </c>
      <c r="J2" t="s">
        <v>67</v>
      </c>
      <c r="K2" t="s">
        <v>65</v>
      </c>
      <c r="L2" t="s">
        <v>66</v>
      </c>
      <c r="M2" t="s">
        <v>67</v>
      </c>
      <c r="N2" t="s">
        <v>65</v>
      </c>
      <c r="O2" t="s">
        <v>66</v>
      </c>
      <c r="P2" t="s">
        <v>67</v>
      </c>
    </row>
    <row r="3" spans="1:16" x14ac:dyDescent="0.2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 x14ac:dyDescent="0.2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 x14ac:dyDescent="0.2">
      <c r="B5" s="1">
        <f t="shared" ref="B5:G5" si="0">SUM(B3:B4)</f>
        <v>991</v>
      </c>
      <c r="C5" s="1">
        <f t="shared" si="0"/>
        <v>11</v>
      </c>
      <c r="D5" s="1">
        <f t="shared" si="0"/>
        <v>26</v>
      </c>
      <c r="E5" s="1">
        <f t="shared" si="0"/>
        <v>963</v>
      </c>
      <c r="F5" s="1">
        <f t="shared" si="0"/>
        <v>11</v>
      </c>
      <c r="G5" s="1">
        <f t="shared" si="0"/>
        <v>22</v>
      </c>
      <c r="H5" s="1">
        <f t="shared" ref="H5:J5" si="1">SUM(H3:H4)</f>
        <v>917</v>
      </c>
      <c r="I5" s="1">
        <f t="shared" si="1"/>
        <v>11</v>
      </c>
      <c r="J5" s="1">
        <f t="shared" si="1"/>
        <v>18</v>
      </c>
      <c r="K5" s="1">
        <f t="shared" ref="K5" si="2">SUM(K3:K4)</f>
        <v>872</v>
      </c>
      <c r="L5" s="1">
        <f t="shared" ref="L5" si="3">SUM(L3:L4)</f>
        <v>11</v>
      </c>
      <c r="M5" s="1">
        <f t="shared" ref="M5" si="4">SUM(M3:M4)</f>
        <v>17</v>
      </c>
      <c r="N5" s="1">
        <f t="shared" ref="N5" si="5">SUM(N3:N4)</f>
        <v>864</v>
      </c>
      <c r="O5" s="1">
        <f t="shared" ref="O5" si="6">SUM(O3:O4)</f>
        <v>11</v>
      </c>
      <c r="P5" s="1">
        <f t="shared" ref="P5" si="7">SUM(P3:P4)</f>
        <v>18</v>
      </c>
    </row>
    <row r="6" spans="1:16" x14ac:dyDescent="0.2">
      <c r="N6">
        <f>N5-B5</f>
        <v>-127</v>
      </c>
    </row>
    <row r="7" spans="1:16" x14ac:dyDescent="0.2">
      <c r="N7" s="3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3A2D3-B79F-994A-8E5F-6CAF0A113206}">
  <dimension ref="A1:J35"/>
  <sheetViews>
    <sheetView tabSelected="1" topLeftCell="A16" zoomScale="130" zoomScaleNormal="130" workbookViewId="0">
      <selection activeCell="I29" sqref="I29"/>
    </sheetView>
  </sheetViews>
  <sheetFormatPr baseColWidth="10" defaultRowHeight="16" x14ac:dyDescent="0.2"/>
  <cols>
    <col min="1" max="1" width="23.5" bestFit="1" customWidth="1"/>
    <col min="2" max="2" width="5.5" bestFit="1" customWidth="1"/>
    <col min="3" max="3" width="5.83203125" bestFit="1" customWidth="1"/>
    <col min="4" max="4" width="6.6640625" bestFit="1" customWidth="1"/>
    <col min="5" max="5" width="5.5" bestFit="1" customWidth="1"/>
    <col min="6" max="6" width="5.83203125" bestFit="1" customWidth="1"/>
    <col min="7" max="7" width="6.6640625" bestFit="1" customWidth="1"/>
    <col min="8" max="8" width="5.5" bestFit="1" customWidth="1"/>
    <col min="9" max="9" width="5.83203125" bestFit="1" customWidth="1"/>
    <col min="10" max="10" width="6.6640625" bestFit="1" customWidth="1"/>
  </cols>
  <sheetData>
    <row r="1" spans="1:10" x14ac:dyDescent="0.2">
      <c r="A1" s="1"/>
      <c r="B1" s="5" t="s">
        <v>77</v>
      </c>
      <c r="C1" s="5"/>
      <c r="D1" s="5"/>
      <c r="E1" s="5" t="s">
        <v>69</v>
      </c>
      <c r="F1" s="5"/>
      <c r="G1" s="5"/>
      <c r="H1" s="5" t="s">
        <v>72</v>
      </c>
      <c r="I1" s="5"/>
      <c r="J1" s="5"/>
    </row>
    <row r="2" spans="1:10" x14ac:dyDescent="0.2">
      <c r="A2" s="1" t="s">
        <v>76</v>
      </c>
      <c r="B2" s="1" t="s">
        <v>65</v>
      </c>
      <c r="C2" s="1" t="s">
        <v>66</v>
      </c>
      <c r="D2" s="1" t="s">
        <v>67</v>
      </c>
      <c r="E2" s="1" t="s">
        <v>65</v>
      </c>
      <c r="F2" s="1" t="s">
        <v>66</v>
      </c>
      <c r="G2" s="1" t="s">
        <v>67</v>
      </c>
      <c r="H2" s="1" t="s">
        <v>65</v>
      </c>
      <c r="I2" s="1" t="s">
        <v>66</v>
      </c>
      <c r="J2" s="1" t="s">
        <v>67</v>
      </c>
    </row>
    <row r="3" spans="1:10" x14ac:dyDescent="0.2">
      <c r="A3" t="s">
        <v>78</v>
      </c>
      <c r="B3">
        <v>199</v>
      </c>
      <c r="C3">
        <v>6</v>
      </c>
      <c r="D3">
        <v>5</v>
      </c>
      <c r="E3">
        <v>188</v>
      </c>
      <c r="F3">
        <v>6</v>
      </c>
      <c r="G3">
        <v>6</v>
      </c>
      <c r="H3">
        <v>188</v>
      </c>
      <c r="I3">
        <v>6</v>
      </c>
      <c r="J3">
        <v>6</v>
      </c>
    </row>
    <row r="4" spans="1:10" x14ac:dyDescent="0.2">
      <c r="A4" t="s">
        <v>79</v>
      </c>
      <c r="B4">
        <v>292</v>
      </c>
      <c r="C4" t="s">
        <v>36</v>
      </c>
      <c r="D4">
        <v>2</v>
      </c>
      <c r="E4">
        <v>243</v>
      </c>
      <c r="F4">
        <v>3</v>
      </c>
      <c r="G4">
        <v>3</v>
      </c>
      <c r="H4">
        <v>265</v>
      </c>
      <c r="I4">
        <v>3</v>
      </c>
      <c r="J4">
        <v>3</v>
      </c>
    </row>
    <row r="5" spans="1:10" x14ac:dyDescent="0.2">
      <c r="A5" t="s">
        <v>81</v>
      </c>
      <c r="B5">
        <v>31</v>
      </c>
      <c r="C5">
        <v>2</v>
      </c>
      <c r="D5">
        <v>1</v>
      </c>
      <c r="E5">
        <v>29</v>
      </c>
      <c r="F5">
        <v>8</v>
      </c>
      <c r="G5">
        <v>0</v>
      </c>
      <c r="H5">
        <v>0</v>
      </c>
      <c r="I5">
        <v>0</v>
      </c>
      <c r="J5">
        <v>0</v>
      </c>
    </row>
    <row r="6" spans="1:10" x14ac:dyDescent="0.2">
      <c r="A6" t="s">
        <v>80</v>
      </c>
      <c r="B6">
        <v>109</v>
      </c>
      <c r="C6">
        <v>2</v>
      </c>
      <c r="D6">
        <v>3</v>
      </c>
      <c r="E6">
        <v>103</v>
      </c>
      <c r="F6">
        <v>2</v>
      </c>
      <c r="G6">
        <v>4</v>
      </c>
      <c r="H6">
        <v>103</v>
      </c>
      <c r="I6">
        <v>2</v>
      </c>
      <c r="J6">
        <v>4</v>
      </c>
    </row>
    <row r="7" spans="1:10" x14ac:dyDescent="0.2">
      <c r="A7" t="s">
        <v>83</v>
      </c>
      <c r="B7">
        <v>35</v>
      </c>
      <c r="C7">
        <v>8</v>
      </c>
      <c r="D7">
        <v>0</v>
      </c>
      <c r="E7">
        <v>35</v>
      </c>
      <c r="F7">
        <v>8</v>
      </c>
      <c r="G7">
        <v>0</v>
      </c>
      <c r="H7">
        <v>35</v>
      </c>
      <c r="I7">
        <v>8</v>
      </c>
      <c r="J7">
        <v>0</v>
      </c>
    </row>
    <row r="8" spans="1:10" x14ac:dyDescent="0.2">
      <c r="A8" t="s">
        <v>82</v>
      </c>
      <c r="B8">
        <v>270</v>
      </c>
      <c r="C8">
        <v>6</v>
      </c>
      <c r="D8">
        <v>5</v>
      </c>
      <c r="E8">
        <v>257</v>
      </c>
      <c r="F8">
        <v>6</v>
      </c>
      <c r="G8">
        <v>8</v>
      </c>
      <c r="H8">
        <v>257</v>
      </c>
      <c r="I8">
        <v>6</v>
      </c>
      <c r="J8">
        <v>8</v>
      </c>
    </row>
    <row r="9" spans="1:10" x14ac:dyDescent="0.2">
      <c r="A9" t="s">
        <v>84</v>
      </c>
      <c r="B9">
        <v>350</v>
      </c>
      <c r="C9">
        <v>6</v>
      </c>
      <c r="D9">
        <v>5</v>
      </c>
      <c r="E9">
        <v>308</v>
      </c>
      <c r="F9">
        <v>6</v>
      </c>
      <c r="G9">
        <v>6</v>
      </c>
      <c r="H9">
        <v>308</v>
      </c>
      <c r="I9">
        <v>6</v>
      </c>
      <c r="J9">
        <v>6</v>
      </c>
    </row>
    <row r="10" spans="1:10" x14ac:dyDescent="0.2">
      <c r="A10" t="s">
        <v>85</v>
      </c>
      <c r="B10">
        <v>45</v>
      </c>
      <c r="C10">
        <v>2</v>
      </c>
      <c r="D10">
        <v>1</v>
      </c>
      <c r="E10">
        <v>56</v>
      </c>
      <c r="F10">
        <v>3</v>
      </c>
      <c r="G10">
        <v>1</v>
      </c>
      <c r="H10">
        <v>56</v>
      </c>
      <c r="I10">
        <v>3</v>
      </c>
      <c r="J10">
        <v>1</v>
      </c>
    </row>
    <row r="11" spans="1:10" x14ac:dyDescent="0.2">
      <c r="A11" t="s">
        <v>86</v>
      </c>
      <c r="B11">
        <v>40</v>
      </c>
      <c r="C11">
        <v>3</v>
      </c>
      <c r="D11">
        <v>1</v>
      </c>
      <c r="E11">
        <v>40</v>
      </c>
      <c r="F11">
        <v>3</v>
      </c>
      <c r="G11">
        <v>1</v>
      </c>
      <c r="H11">
        <v>145</v>
      </c>
      <c r="I11">
        <v>6</v>
      </c>
      <c r="J11">
        <v>0</v>
      </c>
    </row>
    <row r="12" spans="1:10" x14ac:dyDescent="0.2">
      <c r="A12" t="s">
        <v>87</v>
      </c>
      <c r="B12">
        <v>15</v>
      </c>
      <c r="C12">
        <v>2</v>
      </c>
      <c r="D12">
        <v>1</v>
      </c>
      <c r="E12">
        <v>13</v>
      </c>
      <c r="F12">
        <v>8</v>
      </c>
      <c r="G12">
        <v>0</v>
      </c>
      <c r="H12">
        <v>13</v>
      </c>
      <c r="I12">
        <v>8</v>
      </c>
      <c r="J12">
        <v>0</v>
      </c>
    </row>
    <row r="13" spans="1:10" x14ac:dyDescent="0.2">
      <c r="A13" t="s">
        <v>88</v>
      </c>
      <c r="B13">
        <v>275</v>
      </c>
      <c r="C13">
        <v>8</v>
      </c>
      <c r="D13">
        <v>2</v>
      </c>
      <c r="E13">
        <v>184</v>
      </c>
      <c r="F13">
        <v>6</v>
      </c>
      <c r="G13">
        <v>2</v>
      </c>
      <c r="H13">
        <v>184</v>
      </c>
      <c r="I13">
        <v>6</v>
      </c>
      <c r="J13">
        <v>2</v>
      </c>
    </row>
    <row r="14" spans="1:10" x14ac:dyDescent="0.2">
      <c r="A14" t="s">
        <v>89</v>
      </c>
      <c r="B14">
        <v>238</v>
      </c>
      <c r="C14">
        <v>6</v>
      </c>
      <c r="D14">
        <v>0</v>
      </c>
      <c r="E14">
        <v>116</v>
      </c>
      <c r="F14">
        <v>6</v>
      </c>
      <c r="G14">
        <v>0</v>
      </c>
      <c r="H14">
        <v>0</v>
      </c>
      <c r="I14">
        <v>0</v>
      </c>
      <c r="J14">
        <v>0</v>
      </c>
    </row>
    <row r="15" spans="1:10" x14ac:dyDescent="0.2">
      <c r="A15" s="6" t="s">
        <v>90</v>
      </c>
      <c r="B15">
        <v>42</v>
      </c>
      <c r="C15">
        <v>6</v>
      </c>
      <c r="D15">
        <v>2</v>
      </c>
      <c r="E15">
        <v>40</v>
      </c>
      <c r="F15">
        <v>6</v>
      </c>
      <c r="G15">
        <v>1</v>
      </c>
      <c r="H15">
        <v>40</v>
      </c>
      <c r="I15">
        <v>6</v>
      </c>
      <c r="J15">
        <v>1</v>
      </c>
    </row>
    <row r="16" spans="1:10" x14ac:dyDescent="0.2">
      <c r="A16" s="6" t="s">
        <v>91</v>
      </c>
      <c r="B16">
        <v>42</v>
      </c>
      <c r="C16">
        <v>6</v>
      </c>
      <c r="D16">
        <v>2</v>
      </c>
      <c r="E16">
        <v>40</v>
      </c>
      <c r="F16">
        <v>6</v>
      </c>
      <c r="G16">
        <v>1</v>
      </c>
      <c r="H16">
        <v>40</v>
      </c>
      <c r="I16">
        <v>6</v>
      </c>
      <c r="J16">
        <v>1</v>
      </c>
    </row>
    <row r="17" spans="1:10" x14ac:dyDescent="0.2">
      <c r="A17" s="6" t="s">
        <v>92</v>
      </c>
      <c r="B17">
        <v>39</v>
      </c>
      <c r="C17">
        <v>3</v>
      </c>
      <c r="D17">
        <v>2</v>
      </c>
      <c r="E17">
        <v>39</v>
      </c>
      <c r="F17">
        <v>3</v>
      </c>
      <c r="G17">
        <v>2</v>
      </c>
      <c r="H17">
        <v>39</v>
      </c>
      <c r="I17">
        <v>3</v>
      </c>
      <c r="J17">
        <v>2</v>
      </c>
    </row>
    <row r="18" spans="1:10" x14ac:dyDescent="0.2">
      <c r="A18" t="s">
        <v>93</v>
      </c>
      <c r="B18">
        <v>344</v>
      </c>
      <c r="C18">
        <v>8</v>
      </c>
      <c r="D18">
        <v>7</v>
      </c>
      <c r="E18">
        <v>314</v>
      </c>
      <c r="F18">
        <v>6</v>
      </c>
      <c r="G18">
        <v>10</v>
      </c>
      <c r="H18">
        <v>314</v>
      </c>
      <c r="I18">
        <v>6</v>
      </c>
      <c r="J18">
        <v>10</v>
      </c>
    </row>
    <row r="19" spans="1:10" x14ac:dyDescent="0.2">
      <c r="A19" t="s">
        <v>94</v>
      </c>
      <c r="B19">
        <v>90</v>
      </c>
      <c r="C19">
        <v>5</v>
      </c>
      <c r="D19">
        <v>0</v>
      </c>
      <c r="E19">
        <v>88</v>
      </c>
      <c r="F19">
        <v>5</v>
      </c>
      <c r="G19">
        <v>2</v>
      </c>
      <c r="H19">
        <v>88</v>
      </c>
      <c r="I19">
        <v>5</v>
      </c>
      <c r="J19">
        <v>2</v>
      </c>
    </row>
    <row r="20" spans="1:10" x14ac:dyDescent="0.2">
      <c r="A20" t="s">
        <v>95</v>
      </c>
      <c r="B20">
        <v>144</v>
      </c>
      <c r="C20">
        <v>5</v>
      </c>
      <c r="D20">
        <v>0</v>
      </c>
      <c r="E20">
        <v>123</v>
      </c>
      <c r="F20">
        <v>6</v>
      </c>
      <c r="G20">
        <v>3</v>
      </c>
      <c r="H20">
        <v>123</v>
      </c>
      <c r="I20">
        <v>6</v>
      </c>
      <c r="J20">
        <v>3</v>
      </c>
    </row>
    <row r="21" spans="1:10" x14ac:dyDescent="0.2">
      <c r="A21" t="s">
        <v>96</v>
      </c>
      <c r="B21">
        <v>271</v>
      </c>
      <c r="C21">
        <v>6</v>
      </c>
      <c r="D21">
        <v>0</v>
      </c>
      <c r="E21">
        <v>170</v>
      </c>
      <c r="F21">
        <v>6</v>
      </c>
      <c r="G21">
        <v>2</v>
      </c>
      <c r="H21">
        <v>170</v>
      </c>
      <c r="I21">
        <v>6</v>
      </c>
      <c r="J21">
        <v>2</v>
      </c>
    </row>
    <row r="22" spans="1:10" x14ac:dyDescent="0.2">
      <c r="B22" s="1">
        <f>SUM(B3:B21)</f>
        <v>2871</v>
      </c>
      <c r="C22" s="1">
        <f t="shared" ref="C22:J22" si="0">SUM(C3:C21)</f>
        <v>90</v>
      </c>
      <c r="D22" s="1">
        <f t="shared" si="0"/>
        <v>39</v>
      </c>
      <c r="E22" s="1">
        <f t="shared" si="0"/>
        <v>2386</v>
      </c>
      <c r="F22" s="1">
        <f t="shared" si="0"/>
        <v>103</v>
      </c>
      <c r="G22" s="1">
        <f t="shared" si="0"/>
        <v>52</v>
      </c>
      <c r="H22" s="1">
        <f t="shared" si="0"/>
        <v>2368</v>
      </c>
      <c r="I22" s="1">
        <f t="shared" si="0"/>
        <v>92</v>
      </c>
      <c r="J22" s="1">
        <f t="shared" si="0"/>
        <v>51</v>
      </c>
    </row>
    <row r="24" spans="1:10" x14ac:dyDescent="0.2">
      <c r="A24" s="6" t="s">
        <v>94</v>
      </c>
      <c r="B24">
        <v>347</v>
      </c>
      <c r="C24">
        <v>5</v>
      </c>
      <c r="D24">
        <v>4</v>
      </c>
      <c r="E24">
        <v>323</v>
      </c>
      <c r="F24">
        <v>5</v>
      </c>
      <c r="G24">
        <v>6</v>
      </c>
    </row>
    <row r="25" spans="1:10" x14ac:dyDescent="0.2">
      <c r="A25" s="6" t="s">
        <v>96</v>
      </c>
      <c r="B25">
        <v>263</v>
      </c>
      <c r="C25">
        <v>6</v>
      </c>
      <c r="D25">
        <v>1</v>
      </c>
      <c r="E25">
        <v>194</v>
      </c>
      <c r="F25">
        <v>6</v>
      </c>
      <c r="G25">
        <v>3</v>
      </c>
    </row>
    <row r="26" spans="1:10" x14ac:dyDescent="0.2">
      <c r="A26" s="6" t="s">
        <v>84</v>
      </c>
      <c r="B26">
        <v>285</v>
      </c>
      <c r="C26">
        <v>6</v>
      </c>
      <c r="D26">
        <v>4</v>
      </c>
      <c r="E26">
        <v>254</v>
      </c>
      <c r="F26">
        <v>6</v>
      </c>
      <c r="G26">
        <v>6</v>
      </c>
    </row>
    <row r="27" spans="1:10" x14ac:dyDescent="0.2">
      <c r="A27" t="s">
        <v>78</v>
      </c>
      <c r="B27">
        <v>285</v>
      </c>
      <c r="C27">
        <v>6</v>
      </c>
      <c r="D27">
        <v>5</v>
      </c>
      <c r="E27">
        <v>244</v>
      </c>
      <c r="F27">
        <v>6</v>
      </c>
      <c r="G27">
        <v>8</v>
      </c>
    </row>
    <row r="28" spans="1:10" x14ac:dyDescent="0.2">
      <c r="A28" s="6" t="s">
        <v>87</v>
      </c>
      <c r="B28">
        <v>281</v>
      </c>
      <c r="C28">
        <v>6</v>
      </c>
      <c r="D28">
        <v>4</v>
      </c>
      <c r="E28">
        <v>250</v>
      </c>
      <c r="F28">
        <v>6</v>
      </c>
      <c r="G28">
        <v>6</v>
      </c>
    </row>
    <row r="29" spans="1:10" x14ac:dyDescent="0.2">
      <c r="A29" s="6" t="s">
        <v>97</v>
      </c>
      <c r="B29">
        <v>160</v>
      </c>
      <c r="C29">
        <v>6</v>
      </c>
      <c r="D29">
        <v>4</v>
      </c>
      <c r="E29">
        <v>160</v>
      </c>
      <c r="F29">
        <v>6</v>
      </c>
      <c r="G29">
        <v>4</v>
      </c>
    </row>
    <row r="30" spans="1:10" x14ac:dyDescent="0.2">
      <c r="A30" t="s">
        <v>98</v>
      </c>
      <c r="B30">
        <v>176</v>
      </c>
      <c r="C30">
        <v>3</v>
      </c>
      <c r="D30">
        <v>2</v>
      </c>
      <c r="E30">
        <v>77</v>
      </c>
      <c r="F30">
        <v>3</v>
      </c>
      <c r="G30">
        <v>2</v>
      </c>
    </row>
    <row r="31" spans="1:10" x14ac:dyDescent="0.2">
      <c r="A31" t="s">
        <v>99</v>
      </c>
      <c r="B31">
        <v>99</v>
      </c>
      <c r="C31">
        <v>4</v>
      </c>
      <c r="D31">
        <v>3</v>
      </c>
      <c r="E31">
        <v>99</v>
      </c>
      <c r="F31">
        <v>4</v>
      </c>
      <c r="G31">
        <v>3</v>
      </c>
    </row>
    <row r="32" spans="1:10" x14ac:dyDescent="0.2">
      <c r="A32" t="s">
        <v>100</v>
      </c>
      <c r="B32">
        <v>186</v>
      </c>
      <c r="C32">
        <v>5</v>
      </c>
      <c r="D32">
        <v>5</v>
      </c>
      <c r="E32">
        <v>189</v>
      </c>
      <c r="F32">
        <v>5</v>
      </c>
      <c r="G32">
        <v>6</v>
      </c>
    </row>
    <row r="33" spans="2:7" x14ac:dyDescent="0.2">
      <c r="B33" s="1">
        <f>SUM(B24:B32)</f>
        <v>2082</v>
      </c>
      <c r="C33">
        <f t="shared" ref="C33:G33" si="1">SUM(C24:C32)</f>
        <v>47</v>
      </c>
      <c r="D33">
        <f t="shared" si="1"/>
        <v>32</v>
      </c>
      <c r="E33" s="1">
        <f t="shared" si="1"/>
        <v>1790</v>
      </c>
      <c r="F33">
        <f t="shared" si="1"/>
        <v>47</v>
      </c>
      <c r="G33">
        <f t="shared" si="1"/>
        <v>44</v>
      </c>
    </row>
    <row r="34" spans="2:7" x14ac:dyDescent="0.2">
      <c r="E34">
        <f>E33-B33</f>
        <v>-292</v>
      </c>
    </row>
    <row r="35" spans="2:7" x14ac:dyDescent="0.2">
      <c r="E35" s="3">
        <f>E34/B33</f>
        <v>-0.14024975984630164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  <vt:lpstr>ExtraMath_decimal.cs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2025-01-11T19:19:40Z</dcterms:modified>
</cp:coreProperties>
</file>
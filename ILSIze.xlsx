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6A783A36-9A09-6242-8FD2-271EA593A5D7}" xr6:coauthVersionLast="47" xr6:coauthVersionMax="47" xr10:uidLastSave="{00000000-0000-0000-0000-000000000000}"/>
  <bookViews>
    <workbookView xWindow="0" yWindow="500" windowWidth="25600" windowHeight="14400" firstSheet="1" activeTab="7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8" l="1"/>
  <c r="L9" i="8"/>
  <c r="O8" i="8"/>
  <c r="P8" i="8"/>
  <c r="Q8" i="8"/>
  <c r="R8" i="8"/>
  <c r="N8" i="8"/>
  <c r="M8" i="8"/>
  <c r="L8" i="8"/>
  <c r="K8" i="8"/>
  <c r="J8" i="8"/>
  <c r="I8" i="8"/>
  <c r="H8" i="8"/>
  <c r="H9" i="8" s="1"/>
  <c r="G8" i="8"/>
  <c r="D8" i="8"/>
  <c r="E8" i="8"/>
  <c r="F8" i="8"/>
  <c r="C8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E35" i="7" l="1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<sst xmlns="http://schemas.openxmlformats.org/spreadsheetml/2006/main" count="231" uniqueCount="127">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</sst>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NumberFormat="1" applyFont="1"/>
    <xf numFmtId="0" fontId="6" fillId="0" borderId="0" xfId="0" applyFont="1" applyAlignment="1">
      <alignment wrapText="1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>
      <c r="A1" s="1"/>
      <c r="B1" s="7" t="s">
        <v>6</v>
      </c>
      <c r="C1" s="7"/>
      <c r="D1" s="7"/>
      <c r="E1" s="7" t="s">
        <v>25</v>
      </c>
      <c r="F1" s="7"/>
      <c r="G1" s="7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"/>
  <cols>
    <col min="1" max="1" width="28" customWidth="1"/>
    <col min="2" max="2" width="12.5703125" customWidth="1"/>
    <col min="3" max="3" width="5.710937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"/>
  <cols>
    <col min="1" max="1" width="29.5703125" customWidth="1"/>
    <col min="2" max="2" width="16.140625" customWidth="1"/>
    <col min="3" max="4" width="4.28515625" customWidth="1"/>
    <col min="5" max="5" width="4" bestFit="1" customWidth="1"/>
    <col min="6" max="6" width="4.285156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>
      <c r="D1" s="7" t="s">
        <v>6</v>
      </c>
      <c r="E1" s="7"/>
      <c r="F1" s="7"/>
      <c r="G1" s="7" t="s">
        <v>25</v>
      </c>
      <c r="H1" s="7"/>
      <c r="I1" s="7"/>
      <c r="J1" s="7" t="s">
        <v>44</v>
      </c>
      <c r="K1" s="7"/>
      <c r="L1" s="7"/>
      <c r="M1" s="7" t="s">
        <v>46</v>
      </c>
      <c r="N1" s="7"/>
      <c r="O1" s="7"/>
      <c r="P1" s="7" t="s">
        <v>47</v>
      </c>
      <c r="Q1" s="7"/>
      <c r="R1" s="7"/>
      <c r="S1" s="7" t="s">
        <v>101</v>
      </c>
      <c r="T1" s="7"/>
      <c r="U1" s="7"/>
      <c r="V1" s="7" t="s">
        <v>108</v>
      </c>
      <c r="W1" s="7"/>
      <c r="X1" s="7"/>
      <c r="Y1" s="7" t="s">
        <v>111</v>
      </c>
      <c r="Z1" s="7"/>
      <c r="AA1" s="7"/>
      <c r="AB1" s="7" t="s">
        <v>112</v>
      </c>
      <c r="AC1" s="7"/>
      <c r="AD1" s="7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8" t="s">
        <v>40</v>
      </c>
      <c r="B3" s="6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8"/>
      <c r="B4" s="6"/>
      <c r="C4" t="s">
        <v>113</v>
      </c>
      <c r="AB4">
        <v>41</v>
      </c>
      <c r="AC4">
        <v>3</v>
      </c>
      <c r="AD4">
        <v>3</v>
      </c>
    </row>
    <row r="5" spans="1:30">
      <c r="A5" s="8"/>
      <c r="B5" s="6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8"/>
      <c r="B6" s="6"/>
      <c r="C6" t="s">
        <v>114</v>
      </c>
      <c r="AB6">
        <v>41</v>
      </c>
      <c r="AC6">
        <v>3</v>
      </c>
      <c r="AD6">
        <v>3</v>
      </c>
    </row>
    <row r="7" spans="1:30">
      <c r="A7" s="8"/>
      <c r="B7" s="5" t="s">
        <v>115</v>
      </c>
      <c r="AB7">
        <v>57</v>
      </c>
      <c r="AC7">
        <v>3</v>
      </c>
      <c r="AD7">
        <v>2</v>
      </c>
    </row>
    <row r="8" spans="1:30">
      <c r="A8" s="8"/>
      <c r="B8" s="6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8"/>
      <c r="B9" s="6"/>
      <c r="C9" t="s">
        <v>118</v>
      </c>
      <c r="AB9">
        <v>98</v>
      </c>
      <c r="AC9">
        <v>3</v>
      </c>
      <c r="AD9">
        <v>4</v>
      </c>
    </row>
    <row r="10" spans="1:30">
      <c r="A10" s="8"/>
      <c r="B10" s="6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8"/>
      <c r="B11" s="6"/>
      <c r="C11" t="s">
        <v>114</v>
      </c>
      <c r="AB11">
        <v>70</v>
      </c>
      <c r="AC11">
        <v>4</v>
      </c>
      <c r="AD11">
        <v>3</v>
      </c>
    </row>
    <row r="12" spans="1:30">
      <c r="A12" s="8" t="s">
        <v>45</v>
      </c>
      <c r="B12" s="6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8"/>
      <c r="B13" s="6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8"/>
      <c r="B14" s="6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8"/>
      <c r="B15" s="6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8"/>
      <c r="B16" s="6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8"/>
      <c r="B17" s="6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8"/>
      <c r="B18" s="6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8"/>
      <c r="B19" s="6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B3:B6"/>
    <mergeCell ref="B8:B9"/>
    <mergeCell ref="B10:B11"/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>
      <c r="A1" s="1"/>
      <c r="B1" s="7" t="s">
        <v>48</v>
      </c>
      <c r="C1" s="7"/>
      <c r="D1" s="7"/>
      <c r="E1" s="7" t="s">
        <v>49</v>
      </c>
      <c r="F1" s="7"/>
      <c r="G1" s="7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>
      <c r="A1" s="1"/>
      <c r="B1" s="7" t="s">
        <v>69</v>
      </c>
      <c r="C1" s="7"/>
      <c r="D1" s="7"/>
      <c r="E1" s="7" t="s">
        <v>72</v>
      </c>
      <c r="F1" s="7"/>
      <c r="G1" s="7"/>
      <c r="H1" s="7" t="s">
        <v>73</v>
      </c>
      <c r="I1" s="7"/>
      <c r="J1" s="7"/>
      <c r="K1" s="7" t="s">
        <v>74</v>
      </c>
      <c r="L1" s="7"/>
      <c r="M1" s="7"/>
      <c r="N1" s="7" t="s">
        <v>75</v>
      </c>
      <c r="O1" s="7"/>
      <c r="P1" s="7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>
      <c r="A1" s="1"/>
      <c r="B1" s="7" t="s">
        <v>77</v>
      </c>
      <c r="C1" s="7"/>
      <c r="D1" s="7"/>
      <c r="E1" s="7" t="s">
        <v>69</v>
      </c>
      <c r="F1" s="7"/>
      <c r="G1" s="7"/>
      <c r="H1" s="7" t="s">
        <v>72</v>
      </c>
      <c r="I1" s="7"/>
      <c r="J1" s="7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R9"/>
  <sheetViews>
    <sheetView tabSelected="1"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0" sqref="J10"/>
    </sheetView>
  </sheetViews>
  <sheetFormatPr baseColWidth="10" defaultRowHeight="16"/>
  <cols>
    <col min="1" max="1" width="20" bestFit="1" customWidth="1"/>
    <col min="2" max="2" width="42.85546875" bestFit="1" customWidth="1"/>
    <col min="3" max="3" width="4.140625" bestFit="1" customWidth="1"/>
    <col min="4" max="4" width="4.7109375" bestFit="1" customWidth="1"/>
    <col min="5" max="5" width="5.140625" bestFit="1" customWidth="1"/>
    <col min="6" max="6" width="5.7109375" bestFit="1" customWidth="1"/>
    <col min="7" max="7" width="4.140625" bestFit="1" customWidth="1"/>
    <col min="8" max="8" width="4.7109375" bestFit="1" customWidth="1"/>
    <col min="9" max="9" width="5.140625" bestFit="1" customWidth="1"/>
    <col min="10" max="10" width="5.7109375" bestFit="1" customWidth="1"/>
    <col min="11" max="11" width="4.140625" bestFit="1" customWidth="1"/>
    <col min="12" max="13" width="5.140625" bestFit="1" customWidth="1"/>
    <col min="14" max="14" width="5.7109375" bestFit="1" customWidth="1"/>
    <col min="15" max="15" width="4.140625" bestFit="1" customWidth="1"/>
    <col min="16" max="17" width="5.140625" bestFit="1" customWidth="1"/>
    <col min="18" max="18" width="5.7109375" bestFit="1" customWidth="1"/>
  </cols>
  <sheetData>
    <row r="1" spans="1:18" s="1" customFormat="1">
      <c r="C1" s="7" t="s">
        <v>69</v>
      </c>
      <c r="D1" s="7"/>
      <c r="E1" s="7"/>
      <c r="F1" s="7"/>
      <c r="G1" s="7" t="s">
        <v>72</v>
      </c>
      <c r="H1" s="7"/>
      <c r="I1" s="7"/>
      <c r="J1" s="7"/>
      <c r="K1" s="7" t="s">
        <v>73</v>
      </c>
      <c r="L1" s="7"/>
      <c r="M1" s="7"/>
      <c r="N1" s="7"/>
      <c r="O1" s="7" t="s">
        <v>74</v>
      </c>
      <c r="P1" s="7"/>
      <c r="Q1" s="7"/>
      <c r="R1" s="7"/>
    </row>
    <row r="2" spans="1:18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</row>
    <row r="3" spans="1:18" ht="36">
      <c r="A3" t="s">
        <v>120</v>
      </c>
      <c r="B3" s="10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</row>
    <row r="4" spans="1:18" ht="36">
      <c r="B4" s="10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</row>
    <row r="5" spans="1:18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</row>
    <row r="6" spans="1:18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</row>
    <row r="7" spans="1:18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</row>
    <row r="8" spans="1:18">
      <c r="C8" s="1">
        <f>SUM(C3:C7)</f>
        <v>25</v>
      </c>
      <c r="D8" s="1">
        <f t="shared" ref="D8:F8" si="0">SUM(D3:D7)</f>
        <v>909</v>
      </c>
      <c r="E8" s="1">
        <f t="shared" si="0"/>
        <v>30</v>
      </c>
      <c r="F8" s="1">
        <f t="shared" si="0"/>
        <v>11</v>
      </c>
      <c r="G8" s="1">
        <f>SUM(G3:G7)</f>
        <v>24</v>
      </c>
      <c r="H8" s="1">
        <f>SUM(H3:H7)</f>
        <v>916</v>
      </c>
      <c r="I8" s="1">
        <f>SUM(I3:I7)</f>
        <v>30</v>
      </c>
      <c r="J8" s="1">
        <f>SUM(J3:J7)</f>
        <v>12</v>
      </c>
      <c r="K8" s="1">
        <f>SUM(K3:K7)</f>
        <v>31</v>
      </c>
      <c r="L8" s="1">
        <f>SUM(L3:L7)</f>
        <v>883</v>
      </c>
      <c r="M8" s="1">
        <f>SUM(M3:M7)</f>
        <v>36</v>
      </c>
      <c r="N8" s="1">
        <f>SUM(N3:N7)</f>
        <v>11</v>
      </c>
      <c r="O8" s="1">
        <f t="shared" ref="O8:R8" si="1">SUM(O3:O7)</f>
        <v>31</v>
      </c>
      <c r="P8" s="1">
        <f t="shared" si="1"/>
        <v>876</v>
      </c>
      <c r="Q8" s="1">
        <f t="shared" si="1"/>
        <v>36</v>
      </c>
      <c r="R8" s="1">
        <f t="shared" si="1"/>
        <v>11</v>
      </c>
    </row>
    <row r="9" spans="1:18">
      <c r="H9" s="9">
        <f>(H8-D8)/D8</f>
        <v>7.7007700770077006E-3</v>
      </c>
      <c r="L9" s="9">
        <f>(L8-D8)/D8</f>
        <v>-2.8602860286028604E-2</v>
      </c>
      <c r="P9" s="9">
        <f>(P8-D8)/D8</f>
        <v>-3.6303630363036306E-2</v>
      </c>
    </row>
  </sheetData>
  <mergeCells count="4">
    <mergeCell ref="C1:F1"/>
    <mergeCell ref="G1:J1"/>
    <mergeCell ref="K1:N1"/>
    <mergeCell ref="O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2025-06-01T07:26:16Z</dcterms:modified>
</cp:coreProperties>
</file>
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E:\Users\Administrator\source\repos\repzilon\Repzilon.Libraries\"/>
    </mc:Choice>
  </mc:AlternateContent>
  <xr:revisionPtr revIDLastSave="0" documentId="13_ncr:1_{D9709800-6EEA-4464-8BC2-CE240D4629A1}" xr6:coauthVersionLast="47" xr6:coauthVersionMax="47" xr10:uidLastSave="{00000000-0000-0000-0000-000000000000}"/>
  <bookViews>
    <workbookView xWindow="600" yWindow="3555" windowWidth="17235" windowHeight="12735" tabRatio="522" firstSheet="8" activeTab="10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  <sheet name="void OutputLinearRegression2" sheetId="8" r:id="rId8"/>
    <sheet name="Console.Write" sheetId="9" r:id="rId9"/>
    <sheet name="String.Format" sheetId="10" r:id="rId10"/>
    <sheet name="U2U1015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1" l="1"/>
  <c r="E17" i="11"/>
  <c r="E18" i="11" s="1"/>
  <c r="E19" i="11" s="1"/>
  <c r="D17" i="11"/>
  <c r="I24" i="9"/>
  <c r="J24" i="9" s="1"/>
  <c r="K24" i="9" s="1"/>
  <c r="H24" i="9"/>
  <c r="I23" i="9"/>
  <c r="H23" i="9"/>
  <c r="I22" i="9"/>
  <c r="J22" i="9" s="1"/>
  <c r="K22" i="9" s="1"/>
  <c r="H22" i="9"/>
  <c r="I21" i="9"/>
  <c r="H21" i="9"/>
  <c r="I20" i="9"/>
  <c r="H20" i="9"/>
  <c r="I19" i="9"/>
  <c r="H19" i="9"/>
  <c r="I18" i="9"/>
  <c r="J18" i="9" s="1"/>
  <c r="K18" i="9" s="1"/>
  <c r="H18" i="9"/>
  <c r="I17" i="9"/>
  <c r="H17" i="9"/>
  <c r="I11" i="9"/>
  <c r="I12" i="9"/>
  <c r="J12" i="9" s="1"/>
  <c r="K12" i="9" s="1"/>
  <c r="I13" i="9"/>
  <c r="J13" i="9" s="1"/>
  <c r="K13" i="9" s="1"/>
  <c r="I14" i="9"/>
  <c r="J14" i="9" s="1"/>
  <c r="K14" i="9" s="1"/>
  <c r="I10" i="9"/>
  <c r="J10" i="9" s="1"/>
  <c r="K10" i="9" s="1"/>
  <c r="I15" i="9"/>
  <c r="I16" i="9"/>
  <c r="H16" i="9"/>
  <c r="H15" i="9"/>
  <c r="J15" i="9" s="1"/>
  <c r="K15" i="9" s="1"/>
  <c r="H14" i="9"/>
  <c r="H13" i="9"/>
  <c r="I3" i="9"/>
  <c r="J3" i="9" s="1"/>
  <c r="K3" i="9" s="1"/>
  <c r="I4" i="9"/>
  <c r="I5" i="9"/>
  <c r="I6" i="9"/>
  <c r="I7" i="9"/>
  <c r="J7" i="9" s="1"/>
  <c r="K7" i="9" s="1"/>
  <c r="I8" i="9"/>
  <c r="I9" i="9"/>
  <c r="I2" i="9"/>
  <c r="H12" i="9"/>
  <c r="H11" i="9"/>
  <c r="H10" i="9"/>
  <c r="H9" i="9"/>
  <c r="J9" i="9" s="1"/>
  <c r="K9" i="9" s="1"/>
  <c r="H8" i="9"/>
  <c r="H7" i="9"/>
  <c r="H6" i="9"/>
  <c r="H5" i="9"/>
  <c r="J5" i="9" s="1"/>
  <c r="K5" i="9" s="1"/>
  <c r="H4" i="9"/>
  <c r="H3" i="9"/>
  <c r="H2" i="9"/>
  <c r="J2" i="9" s="1"/>
  <c r="K2" i="9" s="1"/>
  <c r="AH9" i="8"/>
  <c r="AG9" i="8"/>
  <c r="AF9" i="8"/>
  <c r="AE9" i="8"/>
  <c r="AD9" i="8"/>
  <c r="AC9" i="8"/>
  <c r="AB9" i="8"/>
  <c r="AA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C9" i="8"/>
  <c r="P10" i="8"/>
  <c r="L10" i="8"/>
  <c r="AB20" i="4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F18" i="11" l="1"/>
  <c r="F19" i="11" s="1"/>
  <c r="J17" i="9"/>
  <c r="K17" i="9" s="1"/>
  <c r="J19" i="9"/>
  <c r="K19" i="9" s="1"/>
  <c r="J21" i="9"/>
  <c r="K21" i="9" s="1"/>
  <c r="J23" i="9"/>
  <c r="K23" i="9" s="1"/>
  <c r="J4" i="9"/>
  <c r="K4" i="9" s="1"/>
  <c r="J11" i="9"/>
  <c r="K11" i="9" s="1"/>
  <c r="J6" i="9"/>
  <c r="K6" i="9" s="1"/>
  <c r="J16" i="9"/>
  <c r="K16" i="9" s="1"/>
  <c r="J8" i="9"/>
  <c r="K8" i="9" s="1"/>
  <c r="J20" i="9"/>
  <c r="K20" i="9" s="1"/>
  <c r="H10" i="8"/>
  <c r="E35" i="7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<sst xmlns="http://schemas.openxmlformats.org/spreadsheetml/2006/main" count="318" uniqueCount="188">
  <si>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</si>
  <si>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</si>
  <si>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</si>
  <si>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</si>
  <si>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</si>
  <si>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</si>
  <si>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</si>
  <si>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</si>
  <si>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</si>
  <si>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</si>
  <si>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</si>
  <si>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</si>
  <si>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</si>
  <si>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</si>
  <si>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</si>
  <si>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</si>
  <si>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</si>
  <si>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</si>
  <si>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</si>
  <si>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</si>
  <si>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</si>
  <si>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</si>
  <si>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</si>
  <si>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</si>
  <si>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</si>
  <si>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</si>
  <si>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</si>
  <si>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</si>
  <si>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</si>
  <si>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</si>
  <si>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</si>
  <si>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</si>
  <si>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</si>
  <si>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</si>
  <si>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</si>
  <si>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</si>
  <si>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</si>
  <si>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</si>
  <si>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</si>
  <si>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</si>
  <si>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</si>
  <si>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</si>
  <si>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</si>
  <si>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</si>
  <si>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</si>
  <si>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</si>
  <si>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</si>
  <si>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</si>
  <si>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</si>
  <si>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</si>
  <si>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</si>
  <si>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</si>
  <si>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</si>
  <si>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</si>
  <si>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</si>
  <si>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</si>
  <si>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</si>
  <si>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</si>
  <si>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</si>
  <si>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</si>
  <si>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</si>
  <si>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</si>
  <si>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</si>
  <si>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</si>
  <si>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</si>
  <si>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</si>
  <si>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</si>
  <si>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</si>
  <si>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</si>
  <si>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</si>
  <si>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</si>
  <si>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</si>
  <si>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</si>
  <si>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</si>
  <si>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</si>
  <si>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</si>
  <si>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</si>
  <si>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</si>
  <si>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</si>
  <si>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</si>
  <si>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</si>
  <si>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</si>
  <si>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</si>
  <si>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</si>
  <si>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</si>
  <si>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</si>
  <si>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</si>
  <si>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</si>
  <si>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</si>
  <si>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</si>
  <si>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</si>
  <si>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</si>
  <si>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</si>
  <si>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</si>
  <si>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</si>
  <si>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</si>
  <si>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</si>
  <si>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</si>
  <si>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</si>
  <si>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</si>
  <si>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</si>
  <si>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</si>
  <si>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</si>
  <si>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</si>
  <si>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</si>
  <si>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</si>
  <si>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</si>
  <si>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</si>
  <si>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</si>
  <si>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</si>
  <si>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</si>
  <si>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</si>
  <si>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</si>
  <si>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</si>
  <si>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</si>
  <si>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</si>
  <si>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</si>
  <si>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</si>
  <si>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</si>
  <si>
    <t>Overload</t>
  </si>
  <si>
    <t>OutputLinearRegression2</t>
  </si>
  <si>
    <t>Args</t>
  </si>
  <si>
    <t>OutputParameterMargin</t>
  </si>
  <si>
    <t>OutputXExtrapolation</t>
  </si>
  <si>
    <t>OutputYExtrapolation</t>
  </si>
  <si>
    <t>TRegression lrp, string numberFormat, bool checkBiases, TStorage? xForYExtrapolation, TStorage? yForXExtrapolation</t>
  </si>
  <si>
    <t>TRegression lrp, string numberFormat, bool checkBiases, CultureInfo ciCu, TStorage b, TStorage sr, TStorage studentLawValue</t>
  </si>
  <si>
    <t>Iteration 6</t>
  </si>
  <si>
    <t>Iteration 7</t>
  </si>
  <si>
    <t>Iteration 8</t>
  </si>
  <si>
    <t>Format / OutputLine</t>
  </si>
  <si>
    <t>ChemistryTest.Run</t>
  </si>
  <si>
    <t>DigitTest.Run</t>
  </si>
  <si>
    <t>LinearRegressionTest.Run</t>
  </si>
  <si>
    <t>LinearRegressionTest.OutputBenchResults</t>
  </si>
  <si>
    <t>LinearRegressionTest.InterpolateMolecularWeight</t>
  </si>
  <si>
    <t>LinearRegressionTest.OutputYExtrapolation</t>
  </si>
  <si>
    <t>LinearRegressionTest.OutputRegression</t>
  </si>
  <si>
    <t>MatrixTest.OutputExample89</t>
  </si>
  <si>
    <t>NormalLawTest.OutputNormalIntegral(double…</t>
  </si>
  <si>
    <t>NormalLawTest.OutputNormalIntegral(Decimal…</t>
  </si>
  <si>
    <t>NormalLawTest.OutputNormalIntegral&lt;T&gt;</t>
  </si>
  <si>
    <t>NormalLawTest.BeginOutputNormalIntegral</t>
  </si>
  <si>
    <t>NormalLawTest.EndOutputNormalIntegral</t>
  </si>
  <si>
    <t>NormalLawTest.FindBestIterationCountForNormalLawIntegral(…double…</t>
  </si>
  <si>
    <t>Iterations</t>
  </si>
  <si>
    <t>Before</t>
  </si>
  <si>
    <t>After</t>
  </si>
  <si>
    <t>Relative</t>
  </si>
  <si>
    <t>NormalLawTest.FindBestIterationCountForNormalLawIntegral(…Decimal…</t>
  </si>
  <si>
    <t>NormalLawTest.FindMacLaurinBreakpointForNormalLawIntegral</t>
  </si>
  <si>
    <t>NormalLawTest.OutputProbitEstimate</t>
  </si>
  <si>
    <t>NormalLawTest.LogisticModel</t>
  </si>
  <si>
    <t>NormalLawTest.EvaluateLogisticModel</t>
  </si>
  <si>
    <t>Program.RunSingleDemo</t>
  </si>
  <si>
    <t>VectorTest.Run</t>
  </si>
  <si>
    <t>VectorTest.ShowcaseExample69</t>
  </si>
  <si>
    <t>VectorTest.Example69Console</t>
  </si>
  <si>
    <t>Matrix.op_Addition</t>
  </si>
  <si>
    <t>Matrix.op_Subtraction</t>
  </si>
  <si>
    <t>Matrix.op_Multiply(Matrix&lt;T&gt;</t>
  </si>
  <si>
    <t>EnzymeKinematic.ToString()</t>
  </si>
  <si>
    <t>CalculusTest.TestMathAnalog(double…</t>
  </si>
  <si>
    <t>MatrixDimensionsMismatch</t>
  </si>
  <si>
    <r>
      <t>n</t>
    </r>
    <r>
      <rPr>
        <b/>
        <vertAlign val="superscript"/>
        <sz val="12"/>
        <color theme="1"/>
        <rFont val="Franklin Gothic Book"/>
        <family val="2"/>
        <scheme val="minor"/>
      </rPr>
      <t>o</t>
    </r>
    <r>
      <rPr>
        <b/>
        <sz val="12"/>
        <color theme="1"/>
        <rFont val="Franklin Gothic Book"/>
        <family val="2"/>
        <scheme val="minor"/>
      </rPr>
      <t xml:space="preserve"> 0</t>
    </r>
  </si>
  <si>
    <r>
      <t>n</t>
    </r>
    <r>
      <rPr>
        <b/>
        <vertAlign val="superscript"/>
        <sz val="12"/>
        <color theme="1"/>
        <rFont val="Franklin Gothic Book"/>
        <family val="2"/>
        <scheme val="minor"/>
      </rPr>
      <t>o</t>
    </r>
    <r>
      <rPr>
        <b/>
        <sz val="12"/>
        <color theme="1"/>
        <rFont val="Franklin Gothic Book"/>
        <family val="2"/>
        <scheme val="minor"/>
      </rPr>
      <t xml:space="preserve"> 1</t>
    </r>
  </si>
  <si>
    <t>Repzilon.Tests.ForCoreLibrary</t>
  </si>
  <si>
    <t>ChemistryTest</t>
  </si>
  <si>
    <t>Run</t>
  </si>
  <si>
    <t>EnzymeSpeedDecimal</t>
  </si>
  <si>
    <t>LinearRegressionTest</t>
  </si>
  <si>
    <t>CalibrateGelElectrophoresis</t>
  </si>
  <si>
    <t>Repzilon.Libraries.Core</t>
  </si>
  <si>
    <t>Enzyme</t>
  </si>
  <si>
    <t>Class</t>
  </si>
  <si>
    <t>DirectLinearPlot</t>
  </si>
  <si>
    <t>RunCommand</t>
  </si>
  <si>
    <t>Matrix</t>
  </si>
  <si>
    <t>Speed(string, string, PointD[])</t>
  </si>
  <si>
    <t>DigitTest</t>
  </si>
  <si>
    <t>TestDigitCount</t>
  </si>
  <si>
    <t>InterpolateMolecularWeight</t>
  </si>
  <si>
    <t>NormalLawTest</t>
  </si>
  <si>
    <t>FindBestIterationCountForNormalLawIntegral(float[], double[], double)</t>
  </si>
  <si>
    <t>FindBestIterationCountForNormalLawIntegral(float[], decimal[], decimal)</t>
  </si>
  <si>
    <t>PeptideGuess</t>
  </si>
  <si>
    <t>TOTAL</t>
  </si>
  <si>
    <r>
      <t>n</t>
    </r>
    <r>
      <rPr>
        <b/>
        <vertAlign val="superscript"/>
        <sz val="12"/>
        <color theme="1"/>
        <rFont val="Franklin Gothic Book"/>
        <family val="2"/>
        <scheme val="minor"/>
      </rPr>
      <t>o</t>
    </r>
    <r>
      <rPr>
        <b/>
        <sz val="12"/>
        <color theme="1"/>
        <rFont val="Franklin Gothic Book"/>
        <family val="2"/>
        <scheme val="minor"/>
      </rPr>
      <t xml:space="preserve"> 2</t>
    </r>
    <r>
      <rPr>
        <sz val="11"/>
        <color theme="1"/>
        <rFont val="Franklin Gothic Book"/>
        <family val="2"/>
        <scheme val="minor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</si>
</sst>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2"/>
      <color theme="1"/>
      <name val="Franklin Gothic Book"/>
      <family val="2"/>
      <scheme val="minor"/>
    </font>
    <font>
      <sz val="11"/>
      <color theme="1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1"/>
      <name val="Avenir Next Condensed Regular"/>
    </font>
    <font>
      <b/>
      <vertAlign val="superscript"/>
      <sz val="12"/>
      <color theme="1"/>
      <name val="Franklin Gothic Book"/>
      <family val="2"/>
      <scheme val="minor"/>
    </font>
    <font>
      <sz val="12"/>
      <color theme="1"/>
      <name val="Franklin Gothic Medium Cond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</cellStyleXfs>
  <cellXfs count="15">
    <xf numFmtId="0" fontId="0" fillId="0" borderId="0" xfId="0"/>
    <xf numFmtId="0" fontId="2" fillId="0" borderId="0" xfId="0" applyFont="1"/>
    <xf numFmtId="9" fontId="0" fillId="0" borderId="0" xfId="1" applyFont="1"/>
    <xf numFmtId="0" fontId="5" fillId="2" borderId="0" xfId="2"/>
    <xf numFmtId="0" fontId="6" fillId="0" borderId="0" xfId="0" applyFont="1"/>
    <xf numFmtId="0" fontId="0" fillId="0" borderId="0" xfId="0" applyAlignment="1">
      <alignment vertical="center"/>
    </xf>
    <xf numFmtId="164" fontId="0" fillId="0" borderId="0" xfId="1" applyNumberFormat="1" applyFont="1"/>
    <xf numFmtId="0" fontId="7" fillId="0" borderId="0" xfId="0" applyFont="1" applyAlignment="1">
      <alignment wrapText="1"/>
    </xf>
    <xf numFmtId="0" fontId="0" fillId="0" borderId="0" xfId="1" applyNumberFormat="1" applyFont="1"/>
    <xf numFmtId="0" fontId="9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C11" sqref="C11"/>
    </sheetView>
  </sheetViews>
  <sheetFormatPr baseColWidth="10" defaultRowHeight="16.5"/>
  <cols>
    <col min="1" max="1" width="28.6640625" customWidth="1"/>
    <col min="2" max="2" width="4.33203125" customWidth="1"/>
    <col min="3" max="3" width="5.6640625" customWidth="1"/>
    <col min="4" max="4" width="6.109375" customWidth="1"/>
    <col min="5" max="5" width="5" customWidth="1"/>
    <col min="6" max="6" width="5.6640625" customWidth="1"/>
    <col min="7" max="7" width="6.109375" customWidth="1"/>
  </cols>
  <sheetData>
    <row r="1" spans="1:7">
      <c r="A1" s="1"/>
      <c r="B1" s="11" t="s">
        <v>6</v>
      </c>
      <c r="C1" s="11"/>
      <c r="D1" s="11"/>
      <c r="E1" s="11" t="s">
        <v>25</v>
      </c>
      <c r="F1" s="11"/>
      <c r="G1" s="11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sqref="A1:C1"/>
    </sheetView>
  </sheetViews>
  <sheetFormatPr baseColWidth="10" defaultRowHeight="16.5"/>
  <cols>
    <col min="1" max="1" width="28" customWidth="1"/>
    <col min="2" max="2" width="12.5546875" customWidth="1"/>
    <col min="3" max="3" width="5.6640625" customWidth="1"/>
  </cols>
  <sheetData>
    <row r="1" spans="1:3">
      <c r="A1" s="1" t="s">
        <v>26</v>
      </c>
      <c r="B1" s="1" t="s">
        <v>0</v>
      </c>
      <c r="C1" s="1" t="s">
        <v>27</v>
      </c>
    </row>
    <row r="2" spans="1:3">
      <c r="A2" t="s">
        <v>15</v>
      </c>
      <c r="B2" t="s">
        <v>14</v>
      </c>
      <c r="C2">
        <v>-14</v>
      </c>
    </row>
    <row r="3" spans="1:3">
      <c r="A3" t="s">
        <v>15</v>
      </c>
      <c r="B3" t="s">
        <v>16</v>
      </c>
      <c r="C3">
        <f>(50+103)-207</f>
        <v>-54</v>
      </c>
    </row>
    <row r="4" spans="1:3">
      <c r="A4" t="s">
        <v>20</v>
      </c>
      <c r="B4" t="s">
        <v>21</v>
      </c>
      <c r="C4">
        <f>6*-14</f>
        <v>-84</v>
      </c>
    </row>
    <row r="5" spans="1:3">
      <c r="A5" t="s">
        <v>17</v>
      </c>
      <c r="B5" t="s">
        <v>18</v>
      </c>
      <c r="C5">
        <f>88-108</f>
        <v>-20</v>
      </c>
    </row>
    <row r="6" spans="1:3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C14" sqref="C14"/>
    </sheetView>
  </sheetViews>
  <sheetFormatPr baseColWidth="10" defaultRowHeight="16.5"/>
  <cols>
    <col min="1" max="1" width="29.5546875" customWidth="1"/>
    <col min="2" max="2" width="16.109375" customWidth="1"/>
    <col min="3" max="4" width="4.33203125" customWidth="1"/>
    <col min="5" max="5" width="4" bestFit="1" customWidth="1"/>
    <col min="6" max="6" width="4.33203125" customWidth="1"/>
  </cols>
  <sheetData>
    <row r="1" spans="1:6">
      <c r="A1" s="1" t="s">
        <v>0</v>
      </c>
      <c r="B1" s="1" t="s">
        <v>30</v>
      </c>
      <c r="C1" s="1" t="s">
        <v>28</v>
      </c>
      <c r="D1" s="1" t="s">
        <v>29</v>
      </c>
      <c r="E1" s="1" t="s">
        <v>31</v>
      </c>
      <c r="F1" s="1" t="s">
        <v>37</v>
      </c>
    </row>
    <row r="2" spans="1:6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>
      <c r="A4" t="s">
        <v>32</v>
      </c>
      <c r="B4" t="s">
        <v>23</v>
      </c>
      <c r="C4">
        <v>47</v>
      </c>
      <c r="D4">
        <v>60</v>
      </c>
    </row>
    <row r="5" spans="1:6">
      <c r="A5" t="s">
        <v>32</v>
      </c>
      <c r="B5" t="s">
        <v>33</v>
      </c>
      <c r="E5">
        <v>64</v>
      </c>
      <c r="F5">
        <v>64</v>
      </c>
    </row>
    <row r="6" spans="1:6">
      <c r="A6" t="s">
        <v>34</v>
      </c>
      <c r="B6" t="s">
        <v>35</v>
      </c>
      <c r="F6">
        <v>13</v>
      </c>
    </row>
    <row r="7" spans="1:6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zoomScale="130" zoomScaleNormal="13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S15" sqref="S15"/>
    </sheetView>
  </sheetViews>
  <sheetFormatPr baseColWidth="10" defaultRowHeight="16.5"/>
  <cols>
    <col min="1" max="1" width="13.6640625" bestFit="1" customWidth="1"/>
    <col min="2" max="2" width="12.33203125" bestFit="1" customWidth="1"/>
    <col min="3" max="3" width="17.88671875" bestFit="1" customWidth="1"/>
    <col min="4" max="5" width="5" bestFit="1" customWidth="1"/>
    <col min="6" max="6" width="5.33203125" bestFit="1" customWidth="1"/>
    <col min="7" max="7" width="5" bestFit="1" customWidth="1"/>
    <col min="8" max="9" width="3.33203125" bestFit="1" customWidth="1"/>
    <col min="10" max="10" width="5" bestFit="1" customWidth="1"/>
    <col min="11" max="12" width="3.33203125" bestFit="1" customWidth="1"/>
    <col min="13" max="13" width="5" bestFit="1" customWidth="1"/>
    <col min="14" max="15" width="3.33203125" bestFit="1" customWidth="1"/>
    <col min="16" max="16" width="5" bestFit="1" customWidth="1"/>
    <col min="17" max="18" width="3.33203125" bestFit="1" customWidth="1"/>
    <col min="19" max="19" width="5" bestFit="1" customWidth="1"/>
    <col min="20" max="21" width="3.33203125" bestFit="1" customWidth="1"/>
    <col min="22" max="22" width="5" bestFit="1" customWidth="1"/>
    <col min="23" max="24" width="3.33203125" bestFit="1" customWidth="1"/>
    <col min="25" max="25" width="5" bestFit="1" customWidth="1"/>
    <col min="26" max="27" width="3.33203125" bestFit="1" customWidth="1"/>
    <col min="28" max="28" width="5" bestFit="1" customWidth="1"/>
    <col min="29" max="29" width="4" bestFit="1" customWidth="1"/>
    <col min="30" max="30" width="3.33203125" bestFit="1" customWidth="1"/>
  </cols>
  <sheetData>
    <row r="1" spans="1:30" s="1" customFormat="1">
      <c r="D1" s="11" t="s">
        <v>6</v>
      </c>
      <c r="E1" s="11"/>
      <c r="F1" s="11"/>
      <c r="G1" s="11" t="s">
        <v>25</v>
      </c>
      <c r="H1" s="11"/>
      <c r="I1" s="11"/>
      <c r="J1" s="11" t="s">
        <v>44</v>
      </c>
      <c r="K1" s="11"/>
      <c r="L1" s="11"/>
      <c r="M1" s="11" t="s">
        <v>46</v>
      </c>
      <c r="N1" s="11"/>
      <c r="O1" s="11"/>
      <c r="P1" s="11" t="s">
        <v>47</v>
      </c>
      <c r="Q1" s="11"/>
      <c r="R1" s="11"/>
      <c r="S1" s="11" t="s">
        <v>101</v>
      </c>
      <c r="T1" s="11"/>
      <c r="U1" s="11"/>
      <c r="V1" s="11" t="s">
        <v>108</v>
      </c>
      <c r="W1" s="11"/>
      <c r="X1" s="11"/>
      <c r="Y1" s="11" t="s">
        <v>111</v>
      </c>
      <c r="Z1" s="11"/>
      <c r="AA1" s="11"/>
      <c r="AB1" s="11" t="s">
        <v>112</v>
      </c>
      <c r="AC1" s="11"/>
      <c r="AD1" s="11"/>
    </row>
    <row r="2" spans="1:30" s="1" customFormat="1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>
      <c r="A3" s="12" t="s">
        <v>40</v>
      </c>
      <c r="B3" s="13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>
      <c r="A4" s="12"/>
      <c r="B4" s="13"/>
      <c r="C4" t="s">
        <v>113</v>
      </c>
      <c r="AB4">
        <v>41</v>
      </c>
      <c r="AC4">
        <v>3</v>
      </c>
      <c r="AD4">
        <v>3</v>
      </c>
    </row>
    <row r="5" spans="1:30">
      <c r="A5" s="12"/>
      <c r="B5" s="13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>
      <c r="A6" s="12"/>
      <c r="B6" s="13"/>
      <c r="C6" t="s">
        <v>114</v>
      </c>
      <c r="AB6">
        <v>41</v>
      </c>
      <c r="AC6">
        <v>3</v>
      </c>
      <c r="AD6">
        <v>3</v>
      </c>
    </row>
    <row r="7" spans="1:30">
      <c r="A7" s="12"/>
      <c r="B7" s="5" t="s">
        <v>115</v>
      </c>
      <c r="AB7">
        <v>57</v>
      </c>
      <c r="AC7">
        <v>3</v>
      </c>
      <c r="AD7">
        <v>2</v>
      </c>
    </row>
    <row r="8" spans="1:30">
      <c r="A8" s="12"/>
      <c r="B8" s="13" t="s">
        <v>116</v>
      </c>
      <c r="C8" t="s">
        <v>117</v>
      </c>
      <c r="AB8">
        <v>76</v>
      </c>
      <c r="AC8">
        <v>3</v>
      </c>
      <c r="AD8">
        <v>4</v>
      </c>
    </row>
    <row r="9" spans="1:30">
      <c r="A9" s="12"/>
      <c r="B9" s="13"/>
      <c r="C9" t="s">
        <v>118</v>
      </c>
      <c r="AB9">
        <v>98</v>
      </c>
      <c r="AC9">
        <v>3</v>
      </c>
      <c r="AD9">
        <v>4</v>
      </c>
    </row>
    <row r="10" spans="1:30">
      <c r="A10" s="12"/>
      <c r="B10" s="13" t="s">
        <v>104</v>
      </c>
      <c r="C10" t="s">
        <v>113</v>
      </c>
      <c r="AB10">
        <v>70</v>
      </c>
      <c r="AC10">
        <v>4</v>
      </c>
      <c r="AD10">
        <v>3</v>
      </c>
    </row>
    <row r="11" spans="1:30">
      <c r="A11" s="12"/>
      <c r="B11" s="13"/>
      <c r="C11" t="s">
        <v>114</v>
      </c>
      <c r="AB11">
        <v>70</v>
      </c>
      <c r="AC11">
        <v>4</v>
      </c>
      <c r="AD11">
        <v>3</v>
      </c>
    </row>
    <row r="12" spans="1:30">
      <c r="A12" s="12" t="s">
        <v>45</v>
      </c>
      <c r="B12" s="13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>
      <c r="A13" s="12"/>
      <c r="B13" s="13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>
      <c r="A14" s="12"/>
      <c r="B14" s="13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>
      <c r="A15" s="12"/>
      <c r="B15" s="13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>
      <c r="A16" s="12"/>
      <c r="B16" s="13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>
      <c r="A17" s="12"/>
      <c r="B17" s="13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>
      <c r="A18" s="12"/>
      <c r="B18" s="13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>
      <c r="A19" s="12"/>
      <c r="B19" s="13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>
      <c r="D20" s="1">
        <f t="shared" ref="D20:Z20" si="0">SUM(D3:D19)</f>
        <v>1661</v>
      </c>
      <c r="E20" s="1">
        <f t="shared" si="0"/>
        <v>34</v>
      </c>
      <c r="F20" s="1">
        <f t="shared" si="0"/>
        <v>54</v>
      </c>
      <c r="G20" s="1">
        <f t="shared" si="0"/>
        <v>1588</v>
      </c>
      <c r="H20" s="1">
        <f t="shared" si="0"/>
        <v>32</v>
      </c>
      <c r="I20" s="1">
        <f t="shared" si="0"/>
        <v>60</v>
      </c>
      <c r="J20" s="1">
        <f t="shared" si="0"/>
        <v>1561</v>
      </c>
      <c r="K20" s="1">
        <f t="shared" si="0"/>
        <v>32</v>
      </c>
      <c r="L20" s="1">
        <f t="shared" si="0"/>
        <v>60</v>
      </c>
      <c r="M20" s="1">
        <f t="shared" si="0"/>
        <v>1507</v>
      </c>
      <c r="N20" s="1">
        <f t="shared" si="0"/>
        <v>32</v>
      </c>
      <c r="O20" s="1">
        <f t="shared" si="0"/>
        <v>52</v>
      </c>
      <c r="P20" s="1">
        <f t="shared" si="0"/>
        <v>1494</v>
      </c>
      <c r="Q20" s="1">
        <f t="shared" si="0"/>
        <v>32</v>
      </c>
      <c r="R20" s="1">
        <f t="shared" si="0"/>
        <v>52</v>
      </c>
      <c r="S20" s="1">
        <f t="shared" si="0"/>
        <v>1494</v>
      </c>
      <c r="T20" s="1">
        <f t="shared" si="0"/>
        <v>32</v>
      </c>
      <c r="U20" s="1">
        <f t="shared" si="0"/>
        <v>52</v>
      </c>
      <c r="V20" s="1">
        <f t="shared" si="0"/>
        <v>1951</v>
      </c>
      <c r="W20" s="1">
        <f t="shared" si="0"/>
        <v>80</v>
      </c>
      <c r="X20" s="1">
        <f t="shared" si="0"/>
        <v>84</v>
      </c>
      <c r="Y20" s="1">
        <f t="shared" si="0"/>
        <v>1768</v>
      </c>
      <c r="Z20" s="1">
        <f t="shared" si="0"/>
        <v>80</v>
      </c>
      <c r="AA20" s="1">
        <f t="shared" ref="AA20" si="1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>
      <c r="P21">
        <f>P20-D20</f>
        <v>-167</v>
      </c>
    </row>
    <row r="22" spans="1:30">
      <c r="P22" s="2">
        <f>P21/D20</f>
        <v>-0.10054184226369657</v>
      </c>
    </row>
  </sheetData>
  <mergeCells count="17">
    <mergeCell ref="AB1:AD1"/>
    <mergeCell ref="Y1:AA1"/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  <mergeCell ref="B3:B6"/>
    <mergeCell ref="B8:B9"/>
    <mergeCell ref="B10:B11"/>
  </mergeCells>
  <phoneticPr fontId="4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sqref="A1:G2"/>
    </sheetView>
  </sheetViews>
  <sheetFormatPr baseColWidth="10" defaultRowHeight="16.5"/>
  <cols>
    <col min="1" max="1" width="22.33203125" customWidth="1"/>
    <col min="2" max="2" width="5.33203125" customWidth="1"/>
    <col min="3" max="3" width="5.6640625" customWidth="1"/>
    <col min="4" max="4" width="6.109375" customWidth="1"/>
    <col min="5" max="5" width="5.5546875" customWidth="1"/>
    <col min="6" max="6" width="5.6640625" customWidth="1"/>
    <col min="7" max="7" width="6.109375" customWidth="1"/>
  </cols>
  <sheetData>
    <row r="1" spans="1:7">
      <c r="A1" s="1"/>
      <c r="B1" s="11" t="s">
        <v>48</v>
      </c>
      <c r="C1" s="11"/>
      <c r="D1" s="11"/>
      <c r="E1" s="11" t="s">
        <v>49</v>
      </c>
      <c r="F1" s="11"/>
      <c r="G1" s="11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50</v>
      </c>
      <c r="E3">
        <v>20</v>
      </c>
      <c r="F3">
        <v>2</v>
      </c>
      <c r="G3">
        <v>1</v>
      </c>
    </row>
    <row r="4" spans="1:7">
      <c r="A4" t="s">
        <v>52</v>
      </c>
      <c r="B4">
        <v>127</v>
      </c>
      <c r="C4">
        <v>4</v>
      </c>
      <c r="D4">
        <v>4</v>
      </c>
    </row>
    <row r="5" spans="1:7">
      <c r="A5" t="s">
        <v>51</v>
      </c>
      <c r="B5">
        <v>29</v>
      </c>
      <c r="C5">
        <v>3</v>
      </c>
      <c r="D5">
        <v>1</v>
      </c>
    </row>
    <row r="6" spans="1:7">
      <c r="A6" t="s">
        <v>53</v>
      </c>
      <c r="B6">
        <v>153</v>
      </c>
      <c r="C6">
        <v>6</v>
      </c>
      <c r="D6">
        <v>4</v>
      </c>
    </row>
    <row r="7" spans="1:7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>
      <c r="A8" t="s">
        <v>55</v>
      </c>
      <c r="B8">
        <v>284</v>
      </c>
      <c r="C8">
        <v>6</v>
      </c>
      <c r="D8">
        <v>6</v>
      </c>
    </row>
    <row r="9" spans="1:7">
      <c r="A9" t="s">
        <v>56</v>
      </c>
      <c r="E9">
        <v>45</v>
      </c>
      <c r="F9">
        <v>4</v>
      </c>
      <c r="G9">
        <v>1</v>
      </c>
    </row>
    <row r="10" spans="1:7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>
      <c r="A12" t="s">
        <v>59</v>
      </c>
      <c r="B12">
        <v>44</v>
      </c>
      <c r="C12">
        <v>2</v>
      </c>
      <c r="D12">
        <v>4</v>
      </c>
    </row>
    <row r="13" spans="1:7">
      <c r="A13" t="s">
        <v>60</v>
      </c>
      <c r="E13">
        <v>64</v>
      </c>
      <c r="F13">
        <v>4</v>
      </c>
      <c r="G13">
        <v>2</v>
      </c>
    </row>
    <row r="14" spans="1:7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>
      <c r="A17" t="s">
        <v>64</v>
      </c>
      <c r="E17">
        <v>34</v>
      </c>
      <c r="F17">
        <v>8</v>
      </c>
      <c r="G17">
        <v>0</v>
      </c>
    </row>
    <row r="18" spans="1:7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>
      <c r="E19">
        <f>E18-B18</f>
        <v>-752</v>
      </c>
    </row>
    <row r="20" spans="1:7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sqref="A1:P2"/>
    </sheetView>
  </sheetViews>
  <sheetFormatPr baseColWidth="10" defaultRowHeight="16.5"/>
  <cols>
    <col min="1" max="1" width="15.6640625" customWidth="1"/>
    <col min="2" max="3" width="5.6640625" customWidth="1"/>
    <col min="4" max="4" width="6.5546875" customWidth="1"/>
    <col min="5" max="6" width="5.6640625" customWidth="1"/>
    <col min="7" max="7" width="6.5546875" customWidth="1"/>
    <col min="8" max="9" width="5.6640625" customWidth="1"/>
    <col min="10" max="10" width="6.5546875" customWidth="1"/>
    <col min="11" max="12" width="5.6640625" customWidth="1"/>
    <col min="13" max="13" width="6.5546875" customWidth="1"/>
    <col min="14" max="15" width="5.6640625" customWidth="1"/>
    <col min="16" max="16" width="6.5546875" customWidth="1"/>
  </cols>
  <sheetData>
    <row r="1" spans="1:16">
      <c r="A1" s="1"/>
      <c r="B1" s="11" t="s">
        <v>69</v>
      </c>
      <c r="C1" s="11"/>
      <c r="D1" s="11"/>
      <c r="E1" s="11" t="s">
        <v>72</v>
      </c>
      <c r="F1" s="11"/>
      <c r="G1" s="11"/>
      <c r="H1" s="11" t="s">
        <v>73</v>
      </c>
      <c r="I1" s="11"/>
      <c r="J1" s="11"/>
      <c r="K1" s="11" t="s">
        <v>74</v>
      </c>
      <c r="L1" s="11"/>
      <c r="M1" s="11"/>
      <c r="N1" s="11" t="s">
        <v>75</v>
      </c>
      <c r="O1" s="11"/>
      <c r="P1" s="11"/>
    </row>
    <row r="2" spans="1:16">
      <c r="A2" s="1" t="s">
        <v>68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  <c r="N2" s="1" t="s">
        <v>65</v>
      </c>
      <c r="O2" s="1" t="s">
        <v>66</v>
      </c>
      <c r="P2" s="1" t="s">
        <v>67</v>
      </c>
    </row>
    <row r="3" spans="1:16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>
      <c r="N6">
        <f>N5-B5</f>
        <v>-127</v>
      </c>
    </row>
    <row r="7" spans="1:16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.5"/>
  <cols>
    <col min="1" max="1" width="23.6640625" customWidth="1"/>
    <col min="2" max="2" width="5.6640625" customWidth="1"/>
    <col min="3" max="3" width="6" customWidth="1"/>
    <col min="4" max="4" width="6.6640625" customWidth="1"/>
    <col min="5" max="5" width="5.6640625" customWidth="1"/>
    <col min="6" max="6" width="6" customWidth="1"/>
    <col min="7" max="7" width="6.6640625" customWidth="1"/>
    <col min="8" max="8" width="5.6640625" customWidth="1"/>
    <col min="9" max="9" width="6" customWidth="1"/>
    <col min="10" max="10" width="6.6640625" customWidth="1"/>
  </cols>
  <sheetData>
    <row r="1" spans="1:10">
      <c r="A1" s="1"/>
      <c r="B1" s="11" t="s">
        <v>77</v>
      </c>
      <c r="C1" s="11"/>
      <c r="D1" s="11"/>
      <c r="E1" s="11" t="s">
        <v>69</v>
      </c>
      <c r="F1" s="11"/>
      <c r="G1" s="11"/>
      <c r="H1" s="11" t="s">
        <v>72</v>
      </c>
      <c r="I1" s="11"/>
      <c r="J1" s="11"/>
    </row>
    <row r="2" spans="1:10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>
      <c r="E34">
        <f>E33-B33</f>
        <v>-292</v>
      </c>
    </row>
    <row r="35" spans="2:7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23DF-4A97-4C48-B3D4-92F5ADBE433C}">
  <dimension ref="A1:AH10"/>
  <sheetViews>
    <sheetView zoomScale="130" zoomScaleNormal="13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G12" sqref="AG12"/>
    </sheetView>
  </sheetViews>
  <sheetFormatPr baseColWidth="10" defaultRowHeight="16.5"/>
  <cols>
    <col min="1" max="1" width="20" bestFit="1" customWidth="1"/>
    <col min="2" max="2" width="42.88671875" bestFit="1" customWidth="1"/>
    <col min="3" max="3" width="4.109375" bestFit="1" customWidth="1"/>
    <col min="4" max="4" width="4.6640625" bestFit="1" customWidth="1"/>
    <col min="5" max="5" width="5.109375" bestFit="1" customWidth="1"/>
    <col min="6" max="6" width="5.6640625" bestFit="1" customWidth="1"/>
    <col min="7" max="7" width="4.109375" bestFit="1" customWidth="1"/>
    <col min="8" max="8" width="4.6640625" bestFit="1" customWidth="1"/>
    <col min="9" max="9" width="5.109375" bestFit="1" customWidth="1"/>
    <col min="10" max="10" width="5.6640625" bestFit="1" customWidth="1"/>
    <col min="11" max="11" width="4.109375" bestFit="1" customWidth="1"/>
    <col min="12" max="13" width="5.109375" bestFit="1" customWidth="1"/>
    <col min="14" max="14" width="5.6640625" bestFit="1" customWidth="1"/>
    <col min="15" max="15" width="4.109375" bestFit="1" customWidth="1"/>
    <col min="16" max="17" width="5.109375" bestFit="1" customWidth="1"/>
    <col min="18" max="18" width="5.6640625" bestFit="1" customWidth="1"/>
    <col min="19" max="19" width="4.109375" bestFit="1" customWidth="1"/>
    <col min="20" max="20" width="4.6640625" bestFit="1" customWidth="1"/>
    <col min="21" max="21" width="5.109375" bestFit="1" customWidth="1"/>
    <col min="22" max="22" width="5.6640625" bestFit="1" customWidth="1"/>
    <col min="23" max="23" width="4.109375" bestFit="1" customWidth="1"/>
    <col min="24" max="24" width="5" bestFit="1" customWidth="1"/>
    <col min="25" max="25" width="5.109375" bestFit="1" customWidth="1"/>
    <col min="26" max="26" width="5.6640625" bestFit="1" customWidth="1"/>
    <col min="27" max="27" width="4.109375" bestFit="1" customWidth="1"/>
    <col min="28" max="28" width="4.6640625" bestFit="1" customWidth="1"/>
    <col min="29" max="29" width="5.109375" bestFit="1" customWidth="1"/>
    <col min="30" max="30" width="5.6640625" bestFit="1" customWidth="1"/>
    <col min="31" max="31" width="4.109375" bestFit="1" customWidth="1"/>
    <col min="32" max="32" width="4.6640625" bestFit="1" customWidth="1"/>
    <col min="33" max="33" width="5.109375" bestFit="1" customWidth="1"/>
    <col min="34" max="34" width="5.6640625" bestFit="1" customWidth="1"/>
  </cols>
  <sheetData>
    <row r="1" spans="1:34" s="1" customFormat="1">
      <c r="C1" s="11" t="s">
        <v>69</v>
      </c>
      <c r="D1" s="11"/>
      <c r="E1" s="11"/>
      <c r="F1" s="11"/>
      <c r="G1" s="11" t="s">
        <v>72</v>
      </c>
      <c r="H1" s="11"/>
      <c r="I1" s="11"/>
      <c r="J1" s="11"/>
      <c r="K1" s="11" t="s">
        <v>73</v>
      </c>
      <c r="L1" s="11"/>
      <c r="M1" s="11"/>
      <c r="N1" s="11"/>
      <c r="O1" s="11" t="s">
        <v>74</v>
      </c>
      <c r="P1" s="11"/>
      <c r="Q1" s="11"/>
      <c r="R1" s="11"/>
      <c r="S1" s="11" t="s">
        <v>75</v>
      </c>
      <c r="T1" s="11"/>
      <c r="U1" s="11"/>
      <c r="V1" s="11"/>
      <c r="W1" s="11" t="s">
        <v>127</v>
      </c>
      <c r="X1" s="11"/>
      <c r="Y1" s="11"/>
      <c r="Z1" s="11"/>
      <c r="AA1" s="11" t="s">
        <v>128</v>
      </c>
      <c r="AB1" s="11"/>
      <c r="AC1" s="11"/>
      <c r="AD1" s="11"/>
      <c r="AE1" s="11" t="s">
        <v>129</v>
      </c>
      <c r="AF1" s="11"/>
      <c r="AG1" s="11"/>
      <c r="AH1" s="11"/>
    </row>
    <row r="2" spans="1:34" s="1" customFormat="1">
      <c r="A2" s="1" t="s">
        <v>76</v>
      </c>
      <c r="B2" s="1" t="s">
        <v>119</v>
      </c>
      <c r="C2" s="1" t="s">
        <v>121</v>
      </c>
      <c r="D2" s="1" t="s">
        <v>65</v>
      </c>
      <c r="E2" s="1" t="s">
        <v>66</v>
      </c>
      <c r="F2" s="1" t="s">
        <v>67</v>
      </c>
      <c r="G2" s="1" t="s">
        <v>121</v>
      </c>
      <c r="H2" s="1" t="s">
        <v>65</v>
      </c>
      <c r="I2" s="1" t="s">
        <v>66</v>
      </c>
      <c r="J2" s="1" t="s">
        <v>67</v>
      </c>
      <c r="K2" s="1" t="s">
        <v>121</v>
      </c>
      <c r="L2" s="1" t="s">
        <v>65</v>
      </c>
      <c r="M2" s="1" t="s">
        <v>66</v>
      </c>
      <c r="N2" s="1" t="s">
        <v>67</v>
      </c>
      <c r="O2" s="1" t="s">
        <v>121</v>
      </c>
      <c r="P2" s="1" t="s">
        <v>65</v>
      </c>
      <c r="Q2" s="1" t="s">
        <v>66</v>
      </c>
      <c r="R2" s="1" t="s">
        <v>67</v>
      </c>
      <c r="S2" s="1" t="s">
        <v>121</v>
      </c>
      <c r="T2" s="1" t="s">
        <v>65</v>
      </c>
      <c r="U2" s="1" t="s">
        <v>66</v>
      </c>
      <c r="V2" s="1" t="s">
        <v>67</v>
      </c>
      <c r="W2" s="1" t="s">
        <v>121</v>
      </c>
      <c r="X2" s="1" t="s">
        <v>65</v>
      </c>
      <c r="Y2" s="1" t="s">
        <v>66</v>
      </c>
      <c r="Z2" s="1" t="s">
        <v>67</v>
      </c>
      <c r="AA2" s="1" t="s">
        <v>121</v>
      </c>
      <c r="AB2" s="1" t="s">
        <v>65</v>
      </c>
      <c r="AC2" s="1" t="s">
        <v>66</v>
      </c>
      <c r="AD2" s="1" t="s">
        <v>67</v>
      </c>
      <c r="AE2" s="1" t="s">
        <v>121</v>
      </c>
      <c r="AF2" s="1" t="s">
        <v>65</v>
      </c>
      <c r="AG2" s="1" t="s">
        <v>66</v>
      </c>
      <c r="AH2" s="1" t="s">
        <v>67</v>
      </c>
    </row>
    <row r="3" spans="1:34" ht="46.5">
      <c r="A3" t="s">
        <v>120</v>
      </c>
      <c r="B3" s="7" t="s">
        <v>125</v>
      </c>
      <c r="C3">
        <v>5</v>
      </c>
      <c r="D3">
        <v>664</v>
      </c>
      <c r="E3">
        <v>7</v>
      </c>
      <c r="F3">
        <v>7</v>
      </c>
      <c r="G3">
        <v>5</v>
      </c>
      <c r="H3">
        <v>663</v>
      </c>
      <c r="I3">
        <v>7</v>
      </c>
      <c r="J3">
        <v>7</v>
      </c>
      <c r="K3">
        <v>5</v>
      </c>
      <c r="L3">
        <v>231</v>
      </c>
      <c r="M3">
        <v>7</v>
      </c>
      <c r="N3">
        <v>5</v>
      </c>
      <c r="O3">
        <v>5</v>
      </c>
      <c r="P3">
        <v>231</v>
      </c>
      <c r="Q3">
        <v>7</v>
      </c>
      <c r="R3">
        <v>5</v>
      </c>
      <c r="S3">
        <v>5</v>
      </c>
      <c r="T3">
        <v>231</v>
      </c>
      <c r="U3">
        <v>7</v>
      </c>
      <c r="V3">
        <v>5</v>
      </c>
      <c r="W3">
        <v>5</v>
      </c>
      <c r="X3">
        <v>220</v>
      </c>
      <c r="Y3">
        <v>7</v>
      </c>
      <c r="Z3">
        <v>5</v>
      </c>
      <c r="AA3">
        <v>5</v>
      </c>
      <c r="AB3">
        <v>220</v>
      </c>
      <c r="AC3">
        <v>8</v>
      </c>
      <c r="AD3">
        <v>4</v>
      </c>
      <c r="AE3">
        <v>5</v>
      </c>
      <c r="AF3">
        <v>215</v>
      </c>
      <c r="AG3">
        <v>8</v>
      </c>
      <c r="AH3">
        <v>4</v>
      </c>
    </row>
    <row r="4" spans="1:34" ht="46.5">
      <c r="B4" s="7" t="s">
        <v>126</v>
      </c>
      <c r="K4">
        <v>7</v>
      </c>
      <c r="L4">
        <v>399</v>
      </c>
      <c r="M4">
        <v>6</v>
      </c>
      <c r="N4">
        <v>1</v>
      </c>
      <c r="O4">
        <v>7</v>
      </c>
      <c r="P4">
        <v>396</v>
      </c>
      <c r="Q4">
        <v>6</v>
      </c>
      <c r="R4">
        <v>1</v>
      </c>
      <c r="S4">
        <v>7</v>
      </c>
      <c r="T4">
        <v>396</v>
      </c>
      <c r="U4">
        <v>6</v>
      </c>
      <c r="V4">
        <v>1</v>
      </c>
      <c r="W4">
        <v>7</v>
      </c>
      <c r="X4">
        <v>377</v>
      </c>
      <c r="Y4">
        <v>6</v>
      </c>
      <c r="Z4">
        <v>1</v>
      </c>
      <c r="AA4">
        <v>7</v>
      </c>
      <c r="AB4">
        <v>342</v>
      </c>
      <c r="AC4">
        <v>6</v>
      </c>
      <c r="AD4">
        <v>1</v>
      </c>
      <c r="AE4">
        <v>7</v>
      </c>
      <c r="AF4">
        <v>337</v>
      </c>
      <c r="AG4">
        <v>7</v>
      </c>
      <c r="AH4">
        <v>1</v>
      </c>
    </row>
    <row r="5" spans="1:34">
      <c r="A5" t="s">
        <v>122</v>
      </c>
      <c r="C5">
        <v>6</v>
      </c>
      <c r="D5">
        <v>62</v>
      </c>
      <c r="E5">
        <v>6</v>
      </c>
      <c r="F5">
        <v>2</v>
      </c>
      <c r="G5">
        <v>6</v>
      </c>
      <c r="H5">
        <v>62</v>
      </c>
      <c r="I5">
        <v>6</v>
      </c>
      <c r="J5">
        <v>2</v>
      </c>
      <c r="K5">
        <v>6</v>
      </c>
      <c r="L5">
        <v>62</v>
      </c>
      <c r="M5">
        <v>6</v>
      </c>
      <c r="N5">
        <v>2</v>
      </c>
      <c r="O5">
        <v>6</v>
      </c>
      <c r="P5">
        <v>60</v>
      </c>
      <c r="Q5">
        <v>6</v>
      </c>
      <c r="R5">
        <v>2</v>
      </c>
      <c r="S5">
        <v>6</v>
      </c>
      <c r="T5">
        <v>60</v>
      </c>
      <c r="U5">
        <v>6</v>
      </c>
      <c r="V5">
        <v>2</v>
      </c>
      <c r="W5">
        <v>6</v>
      </c>
      <c r="X5">
        <v>60</v>
      </c>
      <c r="Y5">
        <v>6</v>
      </c>
      <c r="Z5">
        <v>2</v>
      </c>
      <c r="AA5">
        <v>6</v>
      </c>
      <c r="AB5">
        <v>60</v>
      </c>
      <c r="AC5">
        <v>6</v>
      </c>
      <c r="AD5">
        <v>2</v>
      </c>
      <c r="AE5">
        <v>6</v>
      </c>
      <c r="AF5">
        <v>60</v>
      </c>
      <c r="AG5">
        <v>6</v>
      </c>
      <c r="AH5">
        <v>2</v>
      </c>
    </row>
    <row r="6" spans="1:34">
      <c r="A6" t="s">
        <v>123</v>
      </c>
      <c r="C6">
        <v>7</v>
      </c>
      <c r="D6">
        <v>86</v>
      </c>
      <c r="E6">
        <v>8</v>
      </c>
      <c r="F6">
        <v>1</v>
      </c>
      <c r="G6">
        <v>6</v>
      </c>
      <c r="H6">
        <v>94</v>
      </c>
      <c r="I6">
        <v>8</v>
      </c>
      <c r="J6">
        <v>2</v>
      </c>
      <c r="K6">
        <v>6</v>
      </c>
      <c r="L6">
        <v>94</v>
      </c>
      <c r="M6">
        <v>8</v>
      </c>
      <c r="N6">
        <v>2</v>
      </c>
      <c r="O6">
        <v>6</v>
      </c>
      <c r="P6">
        <v>93</v>
      </c>
      <c r="Q6">
        <v>8</v>
      </c>
      <c r="R6">
        <v>2</v>
      </c>
      <c r="S6">
        <v>6</v>
      </c>
      <c r="T6">
        <v>129</v>
      </c>
      <c r="U6">
        <v>8</v>
      </c>
      <c r="V6">
        <v>2</v>
      </c>
      <c r="W6">
        <v>6</v>
      </c>
      <c r="X6">
        <v>115</v>
      </c>
      <c r="Y6">
        <v>8</v>
      </c>
      <c r="Z6">
        <v>2</v>
      </c>
      <c r="AA6">
        <v>6</v>
      </c>
      <c r="AB6">
        <v>116</v>
      </c>
      <c r="AC6">
        <v>8</v>
      </c>
      <c r="AD6">
        <v>2</v>
      </c>
      <c r="AE6">
        <v>6</v>
      </c>
      <c r="AF6">
        <v>111</v>
      </c>
      <c r="AG6">
        <v>7</v>
      </c>
      <c r="AH6">
        <v>2</v>
      </c>
    </row>
    <row r="7" spans="1:34">
      <c r="A7" t="s">
        <v>124</v>
      </c>
      <c r="C7">
        <v>7</v>
      </c>
      <c r="D7">
        <v>97</v>
      </c>
      <c r="E7">
        <v>9</v>
      </c>
      <c r="F7">
        <v>1</v>
      </c>
      <c r="G7">
        <v>7</v>
      </c>
      <c r="H7">
        <v>97</v>
      </c>
      <c r="I7">
        <v>9</v>
      </c>
      <c r="J7">
        <v>1</v>
      </c>
      <c r="K7">
        <v>7</v>
      </c>
      <c r="L7">
        <v>97</v>
      </c>
      <c r="M7">
        <v>9</v>
      </c>
      <c r="N7">
        <v>1</v>
      </c>
      <c r="O7">
        <v>7</v>
      </c>
      <c r="P7">
        <v>96</v>
      </c>
      <c r="Q7">
        <v>9</v>
      </c>
      <c r="R7">
        <v>1</v>
      </c>
      <c r="S7">
        <v>7</v>
      </c>
      <c r="T7">
        <v>132</v>
      </c>
      <c r="U7">
        <v>9</v>
      </c>
      <c r="V7">
        <v>1</v>
      </c>
      <c r="W7">
        <v>7</v>
      </c>
      <c r="X7">
        <v>132</v>
      </c>
      <c r="Y7">
        <v>9</v>
      </c>
      <c r="Z7">
        <v>1</v>
      </c>
      <c r="AA7">
        <v>7</v>
      </c>
      <c r="AB7">
        <v>132</v>
      </c>
      <c r="AC7">
        <v>9</v>
      </c>
      <c r="AD7">
        <v>1</v>
      </c>
      <c r="AE7">
        <v>7</v>
      </c>
      <c r="AF7">
        <v>132</v>
      </c>
      <c r="AG7">
        <v>9</v>
      </c>
      <c r="AH7">
        <v>1</v>
      </c>
    </row>
    <row r="8" spans="1:34">
      <c r="A8" t="s">
        <v>130</v>
      </c>
      <c r="W8">
        <v>4</v>
      </c>
      <c r="X8">
        <v>76</v>
      </c>
      <c r="Y8">
        <v>5</v>
      </c>
      <c r="Z8">
        <v>4</v>
      </c>
      <c r="AA8">
        <v>4</v>
      </c>
      <c r="AB8">
        <v>89</v>
      </c>
      <c r="AC8">
        <v>5</v>
      </c>
      <c r="AD8">
        <v>3</v>
      </c>
      <c r="AE8">
        <v>4</v>
      </c>
      <c r="AF8">
        <v>94</v>
      </c>
      <c r="AG8">
        <v>5</v>
      </c>
      <c r="AH8">
        <v>3</v>
      </c>
    </row>
    <row r="9" spans="1:34">
      <c r="C9" s="1">
        <f>SUM(C3:C8)</f>
        <v>25</v>
      </c>
      <c r="D9" s="1">
        <f t="shared" ref="D9:Z9" si="0">SUM(D3:D8)</f>
        <v>909</v>
      </c>
      <c r="E9" s="1">
        <f t="shared" si="0"/>
        <v>30</v>
      </c>
      <c r="F9" s="1">
        <f t="shared" si="0"/>
        <v>11</v>
      </c>
      <c r="G9" s="1">
        <f t="shared" si="0"/>
        <v>24</v>
      </c>
      <c r="H9" s="1">
        <f t="shared" si="0"/>
        <v>916</v>
      </c>
      <c r="I9" s="1">
        <f t="shared" si="0"/>
        <v>30</v>
      </c>
      <c r="J9" s="1">
        <f t="shared" si="0"/>
        <v>12</v>
      </c>
      <c r="K9" s="1">
        <f t="shared" si="0"/>
        <v>31</v>
      </c>
      <c r="L9" s="1">
        <f t="shared" si="0"/>
        <v>883</v>
      </c>
      <c r="M9" s="1">
        <f t="shared" si="0"/>
        <v>36</v>
      </c>
      <c r="N9" s="1">
        <f t="shared" si="0"/>
        <v>11</v>
      </c>
      <c r="O9" s="1">
        <f t="shared" si="0"/>
        <v>31</v>
      </c>
      <c r="P9" s="1">
        <f t="shared" si="0"/>
        <v>876</v>
      </c>
      <c r="Q9" s="1">
        <f t="shared" si="0"/>
        <v>36</v>
      </c>
      <c r="R9" s="1">
        <f t="shared" si="0"/>
        <v>11</v>
      </c>
      <c r="S9" s="1">
        <f t="shared" si="0"/>
        <v>31</v>
      </c>
      <c r="T9" s="1">
        <f t="shared" si="0"/>
        <v>948</v>
      </c>
      <c r="U9" s="1">
        <f t="shared" si="0"/>
        <v>36</v>
      </c>
      <c r="V9" s="1">
        <f t="shared" si="0"/>
        <v>11</v>
      </c>
      <c r="W9" s="1">
        <f t="shared" si="0"/>
        <v>35</v>
      </c>
      <c r="X9" s="1">
        <f t="shared" si="0"/>
        <v>980</v>
      </c>
      <c r="Y9" s="1">
        <f t="shared" si="0"/>
        <v>41</v>
      </c>
      <c r="Z9" s="1">
        <f t="shared" si="0"/>
        <v>15</v>
      </c>
      <c r="AA9" s="1">
        <f t="shared" ref="AA9" si="1">SUM(AA3:AA8)</f>
        <v>35</v>
      </c>
      <c r="AB9" s="1">
        <f t="shared" ref="AB9" si="2">SUM(AB3:AB8)</f>
        <v>959</v>
      </c>
      <c r="AC9" s="1">
        <f t="shared" ref="AC9" si="3">SUM(AC3:AC8)</f>
        <v>42</v>
      </c>
      <c r="AD9" s="1">
        <f t="shared" ref="AD9" si="4">SUM(AD3:AD8)</f>
        <v>13</v>
      </c>
      <c r="AE9" s="1">
        <f t="shared" ref="AE9" si="5">SUM(AE3:AE8)</f>
        <v>35</v>
      </c>
      <c r="AF9" s="1">
        <f t="shared" ref="AF9" si="6">SUM(AF3:AF8)</f>
        <v>949</v>
      </c>
      <c r="AG9" s="1">
        <f t="shared" ref="AG9" si="7">SUM(AG3:AG8)</f>
        <v>42</v>
      </c>
      <c r="AH9" s="1">
        <f t="shared" ref="AH9" si="8">SUM(AH3:AH8)</f>
        <v>13</v>
      </c>
    </row>
    <row r="10" spans="1:34">
      <c r="H10" s="6">
        <f>(H9-D9)/D9</f>
        <v>7.7007700770077006E-3</v>
      </c>
      <c r="L10" s="6">
        <f>(L9-D9)/D9</f>
        <v>-2.8602860286028604E-2</v>
      </c>
      <c r="P10" s="6">
        <f>(P9-D9)/D9</f>
        <v>-3.6303630363036306E-2</v>
      </c>
    </row>
  </sheetData>
  <mergeCells count="8">
    <mergeCell ref="W1:Z1"/>
    <mergeCell ref="AA1:AD1"/>
    <mergeCell ref="AE1:AH1"/>
    <mergeCell ref="C1:F1"/>
    <mergeCell ref="G1:J1"/>
    <mergeCell ref="K1:N1"/>
    <mergeCell ref="O1:R1"/>
    <mergeCell ref="S1:V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8517-AE04-3E4E-B5BB-4C5D322F3AE8}">
  <dimension ref="A1:K24"/>
  <sheetViews>
    <sheetView zoomScale="158" zoomScaleNormal="158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J24" sqref="J2:J24"/>
    </sheetView>
  </sheetViews>
  <sheetFormatPr baseColWidth="10" defaultRowHeight="16.5"/>
  <cols>
    <col min="1" max="1" width="54" customWidth="1"/>
    <col min="2" max="4" width="6" bestFit="1" customWidth="1"/>
    <col min="5" max="6" width="5" bestFit="1" customWidth="1"/>
    <col min="7" max="7" width="5" customWidth="1"/>
    <col min="8" max="9" width="6" bestFit="1" customWidth="1"/>
    <col min="10" max="10" width="4.88671875" bestFit="1" customWidth="1"/>
    <col min="11" max="11" width="6.6640625" bestFit="1" customWidth="1"/>
  </cols>
  <sheetData>
    <row r="1" spans="1:11" s="1" customFormat="1">
      <c r="A1" s="1" t="s">
        <v>76</v>
      </c>
      <c r="B1" s="11" t="s">
        <v>145</v>
      </c>
      <c r="C1" s="11"/>
      <c r="D1" s="11"/>
      <c r="E1" s="11"/>
      <c r="F1" s="11"/>
      <c r="H1" s="1" t="s">
        <v>146</v>
      </c>
      <c r="I1" s="1" t="s">
        <v>147</v>
      </c>
      <c r="J1" s="1" t="s">
        <v>27</v>
      </c>
      <c r="K1" s="1" t="s">
        <v>148</v>
      </c>
    </row>
    <row r="2" spans="1:11">
      <c r="A2" t="s">
        <v>131</v>
      </c>
      <c r="B2">
        <v>3023</v>
      </c>
      <c r="C2">
        <v>3009</v>
      </c>
      <c r="D2">
        <v>2997</v>
      </c>
      <c r="E2">
        <v>2949</v>
      </c>
      <c r="F2">
        <v>2903</v>
      </c>
      <c r="H2">
        <f t="shared" ref="H2:H24" si="0">B2</f>
        <v>3023</v>
      </c>
      <c r="I2">
        <f>MIN(C2:F2)</f>
        <v>2903</v>
      </c>
      <c r="J2" s="8">
        <f t="shared" ref="J2:J10" si="1">I2-H2</f>
        <v>-120</v>
      </c>
      <c r="K2" s="6">
        <f>J2/H2</f>
        <v>-3.9695666556400923E-2</v>
      </c>
    </row>
    <row r="3" spans="1:11">
      <c r="A3" t="s">
        <v>132</v>
      </c>
      <c r="B3">
        <v>1413</v>
      </c>
      <c r="C3">
        <v>1389</v>
      </c>
      <c r="D3">
        <v>1367</v>
      </c>
      <c r="E3">
        <v>1364</v>
      </c>
      <c r="H3">
        <f t="shared" si="0"/>
        <v>1413</v>
      </c>
      <c r="I3">
        <f t="shared" ref="I3:I9" si="2">MIN(C3:F3)</f>
        <v>1364</v>
      </c>
      <c r="J3" s="8">
        <f t="shared" si="1"/>
        <v>-49</v>
      </c>
      <c r="K3" s="6">
        <f t="shared" ref="K3:K4" si="3">J3/H3</f>
        <v>-3.4677990092002828E-2</v>
      </c>
    </row>
    <row r="4" spans="1:11">
      <c r="A4" t="s">
        <v>133</v>
      </c>
      <c r="B4">
        <v>10094</v>
      </c>
      <c r="C4">
        <v>10056</v>
      </c>
      <c r="D4">
        <v>10025</v>
      </c>
      <c r="H4">
        <f t="shared" si="0"/>
        <v>10094</v>
      </c>
      <c r="I4">
        <f t="shared" si="2"/>
        <v>10025</v>
      </c>
      <c r="J4" s="8">
        <f t="shared" si="1"/>
        <v>-69</v>
      </c>
      <c r="K4" s="6">
        <f t="shared" si="3"/>
        <v>-6.8357440063403999E-3</v>
      </c>
    </row>
    <row r="5" spans="1:11">
      <c r="A5" t="s">
        <v>134</v>
      </c>
      <c r="B5">
        <v>74</v>
      </c>
      <c r="C5">
        <v>69</v>
      </c>
      <c r="H5">
        <f t="shared" si="0"/>
        <v>74</v>
      </c>
      <c r="I5">
        <f t="shared" si="2"/>
        <v>69</v>
      </c>
      <c r="J5" s="8">
        <f t="shared" si="1"/>
        <v>-5</v>
      </c>
      <c r="K5" s="6">
        <f t="shared" ref="K5:K10" si="4">J5/H5</f>
        <v>-6.7567567567567571E-2</v>
      </c>
    </row>
    <row r="6" spans="1:11">
      <c r="A6" t="s">
        <v>135</v>
      </c>
      <c r="B6">
        <v>142</v>
      </c>
      <c r="C6">
        <v>125</v>
      </c>
      <c r="H6">
        <f t="shared" si="0"/>
        <v>142</v>
      </c>
      <c r="I6">
        <f t="shared" si="2"/>
        <v>125</v>
      </c>
      <c r="J6" s="8">
        <f t="shared" si="1"/>
        <v>-17</v>
      </c>
      <c r="K6" s="6">
        <f t="shared" si="4"/>
        <v>-0.11971830985915492</v>
      </c>
    </row>
    <row r="7" spans="1:11">
      <c r="A7" t="s">
        <v>136</v>
      </c>
      <c r="B7">
        <v>146</v>
      </c>
      <c r="C7">
        <v>133</v>
      </c>
      <c r="H7">
        <f t="shared" si="0"/>
        <v>146</v>
      </c>
      <c r="I7">
        <f t="shared" si="2"/>
        <v>133</v>
      </c>
      <c r="J7" s="8">
        <f t="shared" si="1"/>
        <v>-13</v>
      </c>
      <c r="K7" s="6">
        <f t="shared" si="4"/>
        <v>-8.9041095890410954E-2</v>
      </c>
    </row>
    <row r="8" spans="1:11">
      <c r="A8" t="s">
        <v>137</v>
      </c>
      <c r="B8">
        <v>85</v>
      </c>
      <c r="C8">
        <v>71</v>
      </c>
      <c r="H8">
        <f t="shared" si="0"/>
        <v>85</v>
      </c>
      <c r="I8">
        <f t="shared" si="2"/>
        <v>71</v>
      </c>
      <c r="J8" s="8">
        <f t="shared" si="1"/>
        <v>-14</v>
      </c>
      <c r="K8" s="6">
        <f t="shared" si="4"/>
        <v>-0.16470588235294117</v>
      </c>
    </row>
    <row r="9" spans="1:11">
      <c r="A9" t="s">
        <v>138</v>
      </c>
      <c r="B9">
        <v>106</v>
      </c>
      <c r="C9">
        <v>102</v>
      </c>
      <c r="H9">
        <f t="shared" si="0"/>
        <v>106</v>
      </c>
      <c r="I9">
        <f t="shared" si="2"/>
        <v>102</v>
      </c>
      <c r="J9" s="8">
        <f t="shared" si="1"/>
        <v>-4</v>
      </c>
      <c r="K9" s="6">
        <f t="shared" si="4"/>
        <v>-3.7735849056603772E-2</v>
      </c>
    </row>
    <row r="10" spans="1:11">
      <c r="A10" t="s">
        <v>139</v>
      </c>
      <c r="B10">
        <v>121</v>
      </c>
      <c r="C10">
        <v>114</v>
      </c>
      <c r="D10">
        <v>40</v>
      </c>
      <c r="E10">
        <v>60</v>
      </c>
      <c r="H10">
        <f t="shared" si="0"/>
        <v>121</v>
      </c>
      <c r="I10">
        <f>E10</f>
        <v>60</v>
      </c>
      <c r="J10" s="8">
        <f t="shared" si="1"/>
        <v>-61</v>
      </c>
      <c r="K10" s="6">
        <f t="shared" si="4"/>
        <v>-0.50413223140495866</v>
      </c>
    </row>
    <row r="11" spans="1:11">
      <c r="A11" t="s">
        <v>140</v>
      </c>
      <c r="B11">
        <v>104</v>
      </c>
      <c r="C11">
        <v>97</v>
      </c>
      <c r="D11">
        <v>20</v>
      </c>
      <c r="E11">
        <v>38</v>
      </c>
      <c r="H11">
        <f t="shared" si="0"/>
        <v>104</v>
      </c>
      <c r="I11">
        <f t="shared" ref="I11:I14" si="5">E11</f>
        <v>38</v>
      </c>
      <c r="J11" s="8">
        <f t="shared" ref="J11:J14" si="6">I11-H11</f>
        <v>-66</v>
      </c>
      <c r="K11" s="6">
        <f t="shared" ref="K11:K14" si="7">J11/H11</f>
        <v>-0.63461538461538458</v>
      </c>
    </row>
    <row r="12" spans="1:11">
      <c r="A12" t="s">
        <v>141</v>
      </c>
      <c r="B12">
        <v>0</v>
      </c>
      <c r="D12">
        <v>125</v>
      </c>
      <c r="E12">
        <v>0</v>
      </c>
      <c r="H12">
        <f t="shared" si="0"/>
        <v>0</v>
      </c>
      <c r="I12">
        <f t="shared" si="5"/>
        <v>0</v>
      </c>
      <c r="J12" s="8">
        <f t="shared" si="6"/>
        <v>0</v>
      </c>
      <c r="K12" s="6" t="e">
        <f t="shared" si="7"/>
        <v>#DIV/0!</v>
      </c>
    </row>
    <row r="13" spans="1:11">
      <c r="A13" t="s">
        <v>142</v>
      </c>
      <c r="B13">
        <v>0</v>
      </c>
      <c r="E13">
        <v>54</v>
      </c>
      <c r="H13">
        <f t="shared" si="0"/>
        <v>0</v>
      </c>
      <c r="I13">
        <f t="shared" si="5"/>
        <v>54</v>
      </c>
      <c r="J13" s="8">
        <f t="shared" si="6"/>
        <v>54</v>
      </c>
      <c r="K13" s="6" t="e">
        <f t="shared" si="7"/>
        <v>#DIV/0!</v>
      </c>
    </row>
    <row r="14" spans="1:11">
      <c r="A14" t="s">
        <v>143</v>
      </c>
      <c r="B14">
        <v>0</v>
      </c>
      <c r="E14">
        <v>24</v>
      </c>
      <c r="H14">
        <f t="shared" si="0"/>
        <v>0</v>
      </c>
      <c r="I14">
        <f t="shared" si="5"/>
        <v>24</v>
      </c>
      <c r="J14" s="8">
        <f t="shared" si="6"/>
        <v>24</v>
      </c>
      <c r="K14" s="6" t="e">
        <f t="shared" si="7"/>
        <v>#DIV/0!</v>
      </c>
    </row>
    <row r="15" spans="1:11">
      <c r="A15" t="s">
        <v>144</v>
      </c>
      <c r="B15">
        <v>518</v>
      </c>
      <c r="C15">
        <v>507</v>
      </c>
      <c r="H15">
        <f t="shared" si="0"/>
        <v>518</v>
      </c>
      <c r="I15">
        <f t="shared" ref="I15:I16" si="8">MIN(C15:F15)</f>
        <v>507</v>
      </c>
      <c r="J15" s="8">
        <f t="shared" ref="J15:J16" si="9">I15-H15</f>
        <v>-11</v>
      </c>
      <c r="K15" s="6">
        <f t="shared" ref="K15:K16" si="10">J15/H15</f>
        <v>-2.1235521235521235E-2</v>
      </c>
    </row>
    <row r="16" spans="1:11">
      <c r="A16" t="s">
        <v>149</v>
      </c>
      <c r="B16">
        <v>871</v>
      </c>
      <c r="C16">
        <v>855</v>
      </c>
      <c r="H16">
        <f t="shared" si="0"/>
        <v>871</v>
      </c>
      <c r="I16">
        <f t="shared" si="8"/>
        <v>855</v>
      </c>
      <c r="J16" s="8">
        <f t="shared" si="9"/>
        <v>-16</v>
      </c>
      <c r="K16" s="6">
        <f t="shared" si="10"/>
        <v>-1.8369690011481057E-2</v>
      </c>
    </row>
    <row r="17" spans="1:11">
      <c r="A17" t="s">
        <v>150</v>
      </c>
      <c r="B17">
        <v>358</v>
      </c>
      <c r="C17">
        <v>344</v>
      </c>
      <c r="H17">
        <f t="shared" si="0"/>
        <v>358</v>
      </c>
      <c r="I17">
        <f t="shared" ref="I17" si="11">MIN(C17:F17)</f>
        <v>344</v>
      </c>
      <c r="J17" s="8">
        <f t="shared" ref="J17" si="12">I17-H17</f>
        <v>-14</v>
      </c>
      <c r="K17" s="6">
        <f t="shared" ref="K17" si="13">J17/H17</f>
        <v>-3.9106145251396648E-2</v>
      </c>
    </row>
    <row r="18" spans="1:11">
      <c r="A18" t="s">
        <v>151</v>
      </c>
      <c r="B18">
        <v>161</v>
      </c>
      <c r="C18">
        <v>147</v>
      </c>
      <c r="H18">
        <f t="shared" si="0"/>
        <v>161</v>
      </c>
      <c r="I18">
        <f t="shared" ref="I18:I19" si="14">MIN(C18:F18)</f>
        <v>147</v>
      </c>
      <c r="J18" s="8">
        <f t="shared" ref="J18:J19" si="15">I18-H18</f>
        <v>-14</v>
      </c>
      <c r="K18" s="6">
        <f t="shared" ref="K18:K19" si="16">J18/H18</f>
        <v>-8.6956521739130432E-2</v>
      </c>
    </row>
    <row r="19" spans="1:11">
      <c r="A19" t="s">
        <v>152</v>
      </c>
      <c r="B19">
        <v>982</v>
      </c>
      <c r="C19">
        <v>977</v>
      </c>
      <c r="D19">
        <v>967</v>
      </c>
      <c r="E19">
        <v>951</v>
      </c>
      <c r="F19">
        <v>479</v>
      </c>
      <c r="H19">
        <f t="shared" si="0"/>
        <v>982</v>
      </c>
      <c r="I19">
        <f t="shared" si="14"/>
        <v>479</v>
      </c>
      <c r="J19" s="8">
        <f t="shared" si="15"/>
        <v>-503</v>
      </c>
      <c r="K19" s="6">
        <f t="shared" si="16"/>
        <v>-0.51221995926680242</v>
      </c>
    </row>
    <row r="20" spans="1:11">
      <c r="A20" t="s">
        <v>153</v>
      </c>
      <c r="B20">
        <v>0</v>
      </c>
      <c r="F20">
        <v>235</v>
      </c>
      <c r="H20">
        <f t="shared" si="0"/>
        <v>0</v>
      </c>
      <c r="I20">
        <f t="shared" ref="I20" si="17">MIN(C20:F20)</f>
        <v>235</v>
      </c>
      <c r="J20" s="8">
        <f t="shared" ref="J20" si="18">I20-H20</f>
        <v>235</v>
      </c>
      <c r="K20" s="6" t="e">
        <f t="shared" ref="K20" si="19">J20/H20</f>
        <v>#DIV/0!</v>
      </c>
    </row>
    <row r="21" spans="1:11">
      <c r="A21" t="s">
        <v>154</v>
      </c>
      <c r="B21">
        <v>245</v>
      </c>
      <c r="C21">
        <v>233</v>
      </c>
      <c r="D21">
        <v>224</v>
      </c>
      <c r="H21">
        <f t="shared" si="0"/>
        <v>245</v>
      </c>
      <c r="I21">
        <f t="shared" ref="I21" si="20">MIN(C21:F21)</f>
        <v>224</v>
      </c>
      <c r="J21" s="8">
        <f t="shared" ref="J21" si="21">I21-H21</f>
        <v>-21</v>
      </c>
      <c r="K21" s="6">
        <f t="shared" ref="K21" si="22">J21/H21</f>
        <v>-8.5714285714285715E-2</v>
      </c>
    </row>
    <row r="22" spans="1:11">
      <c r="A22" t="s">
        <v>155</v>
      </c>
      <c r="B22">
        <v>1918</v>
      </c>
      <c r="C22">
        <v>1882</v>
      </c>
      <c r="H22">
        <f t="shared" si="0"/>
        <v>1918</v>
      </c>
      <c r="I22">
        <f t="shared" ref="I22:I23" si="23">MIN(C22:F22)</f>
        <v>1882</v>
      </c>
      <c r="J22" s="8">
        <f t="shared" ref="J22:J23" si="24">I22-H22</f>
        <v>-36</v>
      </c>
      <c r="K22" s="6">
        <f t="shared" ref="K22:K23" si="25">J22/H22</f>
        <v>-1.8769551616266946E-2</v>
      </c>
    </row>
    <row r="23" spans="1:11">
      <c r="A23" t="s">
        <v>156</v>
      </c>
      <c r="B23">
        <v>183</v>
      </c>
      <c r="C23">
        <v>172</v>
      </c>
      <c r="H23">
        <f t="shared" si="0"/>
        <v>183</v>
      </c>
      <c r="I23">
        <f t="shared" si="23"/>
        <v>172</v>
      </c>
      <c r="J23" s="8">
        <f t="shared" si="24"/>
        <v>-11</v>
      </c>
      <c r="K23" s="6">
        <f t="shared" si="25"/>
        <v>-6.0109289617486336E-2</v>
      </c>
    </row>
    <row r="24" spans="1:11">
      <c r="A24" t="s">
        <v>157</v>
      </c>
      <c r="B24">
        <v>107</v>
      </c>
      <c r="C24">
        <v>94</v>
      </c>
      <c r="D24">
        <v>93</v>
      </c>
      <c r="H24">
        <f t="shared" si="0"/>
        <v>107</v>
      </c>
      <c r="I24">
        <f t="shared" ref="I24" si="26">MIN(C24:F24)</f>
        <v>93</v>
      </c>
      <c r="J24" s="8">
        <f t="shared" ref="J24" si="27">I24-H24</f>
        <v>-14</v>
      </c>
      <c r="K24" s="6">
        <f t="shared" ref="K24" si="28">J24/H24</f>
        <v>-0.13084112149532709</v>
      </c>
    </row>
  </sheetData>
  <mergeCells count="1">
    <mergeCell ref="B1:F1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FDF44-9379-3942-B963-F6E0C991A132}">
  <dimension ref="A2:D7"/>
  <sheetViews>
    <sheetView zoomScale="158" zoomScaleNormal="158" workbookViewId="0">
      <selection activeCell="A5" sqref="A5"/>
    </sheetView>
  </sheetViews>
  <sheetFormatPr baseColWidth="10" defaultRowHeight="16.5"/>
  <cols>
    <col min="1" max="1" width="29.44140625" bestFit="1" customWidth="1"/>
    <col min="2" max="4" width="4" bestFit="1" customWidth="1"/>
  </cols>
  <sheetData>
    <row r="2" spans="1:4">
      <c r="A2" t="s">
        <v>158</v>
      </c>
      <c r="B2">
        <v>179</v>
      </c>
      <c r="C2">
        <v>175</v>
      </c>
      <c r="D2">
        <v>119</v>
      </c>
    </row>
    <row r="3" spans="1:4">
      <c r="A3" t="s">
        <v>159</v>
      </c>
      <c r="B3">
        <v>179</v>
      </c>
      <c r="C3">
        <v>175</v>
      </c>
      <c r="D3">
        <v>119</v>
      </c>
    </row>
    <row r="4" spans="1:4">
      <c r="A4" t="s">
        <v>160</v>
      </c>
      <c r="B4">
        <v>244</v>
      </c>
      <c r="C4">
        <v>243</v>
      </c>
      <c r="D4">
        <v>179</v>
      </c>
    </row>
    <row r="5" spans="1:4">
      <c r="A5" t="s">
        <v>163</v>
      </c>
      <c r="B5">
        <v>0</v>
      </c>
      <c r="C5">
        <v>0</v>
      </c>
      <c r="D5">
        <v>74</v>
      </c>
    </row>
    <row r="6" spans="1:4">
      <c r="A6" t="s">
        <v>161</v>
      </c>
      <c r="B6">
        <v>109</v>
      </c>
      <c r="C6">
        <v>107</v>
      </c>
    </row>
    <row r="7" spans="1:4">
      <c r="A7" t="s">
        <v>162</v>
      </c>
      <c r="B7">
        <v>129</v>
      </c>
      <c r="C7">
        <v>127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D4D16-60D3-41BE-AECD-07D9E215899B}">
  <dimension ref="A1:F19"/>
  <sheetViews>
    <sheetView tabSelected="1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E9" sqref="E9"/>
    </sheetView>
  </sheetViews>
  <sheetFormatPr baseColWidth="10" defaultRowHeight="16.5"/>
  <cols>
    <col min="1" max="1" width="19.88671875" bestFit="1" customWidth="1"/>
    <col min="2" max="2" width="17.109375" bestFit="1" customWidth="1"/>
    <col min="3" max="3" width="48.21875" bestFit="1" customWidth="1"/>
    <col min="4" max="6" width="6" bestFit="1" customWidth="1"/>
    <col min="7" max="7" width="5" bestFit="1" customWidth="1"/>
  </cols>
  <sheetData>
    <row r="1" spans="1:6" s="1" customFormat="1" ht="19.5">
      <c r="A1" s="1" t="s">
        <v>39</v>
      </c>
      <c r="B1" s="1" t="s">
        <v>174</v>
      </c>
      <c r="C1" s="1" t="s">
        <v>76</v>
      </c>
      <c r="D1" s="1" t="s">
        <v>164</v>
      </c>
      <c r="E1" s="1" t="s">
        <v>165</v>
      </c>
      <c r="F1" s="1" t="s">
        <v>187</v>
      </c>
    </row>
    <row r="2" spans="1:6" s="1" customFormat="1">
      <c r="A2" s="13" t="s">
        <v>172</v>
      </c>
      <c r="B2" s="13" t="s">
        <v>173</v>
      </c>
      <c r="C2" t="s">
        <v>178</v>
      </c>
      <c r="D2">
        <v>354</v>
      </c>
      <c r="E2">
        <v>352</v>
      </c>
      <c r="F2">
        <v>351</v>
      </c>
    </row>
    <row r="3" spans="1:6" s="1" customFormat="1">
      <c r="A3" s="13"/>
      <c r="B3" s="13"/>
      <c r="C3" t="s">
        <v>175</v>
      </c>
      <c r="D3">
        <v>370</v>
      </c>
      <c r="E3">
        <v>372</v>
      </c>
      <c r="F3">
        <v>372</v>
      </c>
    </row>
    <row r="4" spans="1:6" s="1" customFormat="1">
      <c r="A4" s="13"/>
      <c r="B4" s="13" t="s">
        <v>177</v>
      </c>
      <c r="C4" t="s">
        <v>176</v>
      </c>
      <c r="D4">
        <v>232</v>
      </c>
      <c r="E4">
        <v>231</v>
      </c>
      <c r="F4">
        <v>231</v>
      </c>
    </row>
    <row r="5" spans="1:6" s="1" customFormat="1">
      <c r="A5" s="13"/>
      <c r="B5" s="13"/>
      <c r="C5" t="s">
        <v>71</v>
      </c>
      <c r="D5">
        <v>244</v>
      </c>
      <c r="E5">
        <v>247</v>
      </c>
      <c r="F5">
        <v>247</v>
      </c>
    </row>
    <row r="6" spans="1:6">
      <c r="A6" s="14" t="s">
        <v>166</v>
      </c>
      <c r="B6" s="13" t="s">
        <v>167</v>
      </c>
      <c r="C6" t="s">
        <v>168</v>
      </c>
      <c r="D6">
        <v>2911</v>
      </c>
      <c r="E6">
        <v>2914</v>
      </c>
      <c r="F6">
        <v>2878</v>
      </c>
    </row>
    <row r="7" spans="1:6">
      <c r="A7" s="14"/>
      <c r="B7" s="13"/>
      <c r="C7" t="s">
        <v>38</v>
      </c>
      <c r="D7">
        <v>470</v>
      </c>
      <c r="E7">
        <v>466</v>
      </c>
      <c r="F7">
        <v>437</v>
      </c>
    </row>
    <row r="8" spans="1:6">
      <c r="A8" s="14"/>
      <c r="B8" s="13"/>
      <c r="C8" t="s">
        <v>169</v>
      </c>
      <c r="D8">
        <v>807</v>
      </c>
      <c r="E8">
        <v>787</v>
      </c>
      <c r="F8">
        <v>765</v>
      </c>
    </row>
    <row r="9" spans="1:6">
      <c r="A9" s="14"/>
      <c r="B9" s="13" t="s">
        <v>170</v>
      </c>
      <c r="C9" t="s">
        <v>181</v>
      </c>
      <c r="D9">
        <v>125</v>
      </c>
      <c r="E9">
        <v>124</v>
      </c>
      <c r="F9">
        <v>121</v>
      </c>
    </row>
    <row r="10" spans="1:6">
      <c r="A10" s="14"/>
      <c r="B10" s="13"/>
      <c r="C10" t="s">
        <v>171</v>
      </c>
      <c r="D10">
        <v>295</v>
      </c>
      <c r="E10">
        <v>283</v>
      </c>
      <c r="F10">
        <v>276</v>
      </c>
    </row>
    <row r="11" spans="1:6">
      <c r="A11" s="14"/>
      <c r="B11" s="13" t="s">
        <v>179</v>
      </c>
      <c r="C11" t="s">
        <v>168</v>
      </c>
      <c r="D11">
        <v>1364</v>
      </c>
      <c r="E11">
        <v>1367</v>
      </c>
      <c r="F11">
        <v>1355</v>
      </c>
    </row>
    <row r="12" spans="1:6">
      <c r="A12" s="14"/>
      <c r="B12" s="13"/>
      <c r="C12" t="s">
        <v>180</v>
      </c>
      <c r="D12">
        <v>178</v>
      </c>
      <c r="E12">
        <v>180</v>
      </c>
      <c r="F12">
        <v>180</v>
      </c>
    </row>
    <row r="13" spans="1:6">
      <c r="A13" s="14"/>
      <c r="B13" s="13" t="s">
        <v>182</v>
      </c>
      <c r="C13" t="s">
        <v>168</v>
      </c>
      <c r="D13">
        <v>2332</v>
      </c>
      <c r="E13">
        <v>2324</v>
      </c>
      <c r="F13">
        <v>2259</v>
      </c>
    </row>
    <row r="14" spans="1:6">
      <c r="A14" s="14"/>
      <c r="B14" s="13"/>
      <c r="C14" s="9" t="s">
        <v>183</v>
      </c>
      <c r="D14">
        <v>507</v>
      </c>
      <c r="E14">
        <v>508</v>
      </c>
      <c r="F14">
        <v>492</v>
      </c>
    </row>
    <row r="15" spans="1:6">
      <c r="A15" s="14"/>
      <c r="B15" s="13"/>
      <c r="C15" s="9" t="s">
        <v>184</v>
      </c>
      <c r="D15">
        <v>855</v>
      </c>
      <c r="E15">
        <v>829</v>
      </c>
      <c r="F15">
        <v>801</v>
      </c>
    </row>
    <row r="16" spans="1:6">
      <c r="A16" s="14"/>
      <c r="B16" t="s">
        <v>185</v>
      </c>
      <c r="C16" t="s">
        <v>168</v>
      </c>
      <c r="D16">
        <v>678</v>
      </c>
      <c r="E16">
        <v>667</v>
      </c>
      <c r="F16">
        <v>656</v>
      </c>
    </row>
    <row r="17" spans="3:6">
      <c r="C17" s="10" t="s">
        <v>186</v>
      </c>
      <c r="D17">
        <f>SUM(D2:D16)</f>
        <v>11722</v>
      </c>
      <c r="E17">
        <f>SUM(E2:E16)</f>
        <v>11651</v>
      </c>
      <c r="F17">
        <f>SUM(F2:F16)</f>
        <v>11421</v>
      </c>
    </row>
    <row r="18" spans="3:6">
      <c r="E18">
        <f>E17-D17</f>
        <v>-71</v>
      </c>
      <c r="F18">
        <f>F17-E17</f>
        <v>-230</v>
      </c>
    </row>
    <row r="19" spans="3:6">
      <c r="E19" s="6">
        <f>E18/D17</f>
        <v>-6.0569868623101862E-3</v>
      </c>
      <c r="F19" s="6">
        <f>F18/E17</f>
        <v>-1.9740794781563813E-2</v>
      </c>
    </row>
  </sheetData>
  <mergeCells count="8">
    <mergeCell ref="B13:B15"/>
    <mergeCell ref="A6:A16"/>
    <mergeCell ref="B2:B3"/>
    <mergeCell ref="B4:B5"/>
    <mergeCell ref="A2:A5"/>
    <mergeCell ref="B6:B8"/>
    <mergeCell ref="B9:B10"/>
    <mergeCell ref="B11:B1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  <vt:lpstr>void OutputLinearRegression2</vt:lpstr>
      <vt:lpstr>Console.Write</vt:lpstr>
      <vt:lpstr>String.Format</vt:lpstr>
      <vt:lpstr>U2U1015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2025-07-20T22:32:42Z</dcterms:modified>
</cp:coreProperties>
</file>
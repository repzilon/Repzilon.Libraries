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73CF386F-7C6D-4F40-BF95-BF158D918346}" xr6:coauthVersionLast="47" xr6:coauthVersionMax="47" xr10:uidLastSave="{00000000-0000-0000-0000-000000000000}"/>
  <bookViews>
    <workbookView xWindow="0" yWindow="6260" windowWidth="25600" windowHeight="8620" firstSheet="1" activeTab="7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  <sheet name="void OutputLinearRegression2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9" i="8" l="1"/>
  <c r="AG9" i="8"/>
  <c r="AF9" i="8"/>
  <c r="AE9" i="8"/>
  <c r="AD9" i="8"/>
  <c r="AC9" i="8"/>
  <c r="AB9" i="8"/>
  <c r="AA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C9" i="8"/>
  <c r="P10" i="8"/>
  <c r="L10" i="8"/>
  <c r="AB20" i="4"/>
  <c r="AC20" i="4"/>
  <c r="AD20" i="4"/>
  <c r="Y20" i="4"/>
  <c r="Z20" i="4"/>
  <c r="AA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D20" i="4"/>
  <c r="H10" i="8" l="1"/>
  <c r="E35" i="7"/>
  <c r="E34" i="7"/>
  <c r="C33" i="7"/>
  <c r="D33" i="7"/>
  <c r="E33" i="7"/>
  <c r="F33" i="7"/>
  <c r="G33" i="7"/>
  <c r="B33" i="7"/>
  <c r="C22" i="7"/>
  <c r="D22" i="7"/>
  <c r="E22" i="7"/>
  <c r="F22" i="7"/>
  <c r="G22" i="7"/>
  <c r="H22" i="7"/>
  <c r="I22" i="7"/>
  <c r="J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  <c r="P21" i="4" l="1"/>
  <c r="P22" i="4" s="1"/>
</calcChain>
</file>

<file path=xl/sharedStrings.xml><?xml version="1.0" encoding="utf-8"?>
<sst xmlns="http://schemas.openxmlformats.org/spreadsheetml/2006/main" count="252" uniqueCount="131">
  <si>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</si>
  <si>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</si>
  <si>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</si>
  <si>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</si>
  <si>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</si>
  <si>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</si>
  <si>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</si>
  <si>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</si>
  <si>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</si>
  <si>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</si>
  <si>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</si>
  <si>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</si>
  <si>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</si>
  <si>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</si>
  <si>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</si>
  <si>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</si>
  <si>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</si>
  <si>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</si>
  <si>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</si>
  <si>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</si>
  <si>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</si>
  <si>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</si>
  <si>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</si>
  <si>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</si>
  <si>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</si>
  <si>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</si>
  <si>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</si>
  <si>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</si>
  <si>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</si>
  <si>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</si>
  <si>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</si>
  <si>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</si>
  <si>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</si>
  <si>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</si>
  <si>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</si>
  <si>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</si>
  <si>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</si>
  <si>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</si>
  <si>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</si>
  <si>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</si>
  <si>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</si>
  <si>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</si>
  <si>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</si>
  <si>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</si>
  <si>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</si>
  <si>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</si>
  <si>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</si>
  <si>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</si>
  <si>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</si>
  <si>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</si>
  <si>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</si>
  <si>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</si>
  <si>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</si>
  <si>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</si>
  <si>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</si>
  <si>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</si>
  <si>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</si>
  <si>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</si>
  <si>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</si>
  <si>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</si>
  <si>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</si>
  <si>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</si>
  <si>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</si>
  <si>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</si>
  <si>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</si>
  <si>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</si>
  <si>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</si>
  <si>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</si>
  <si>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</si>
  <si>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</si>
  <si>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</si>
  <si>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</si>
  <si>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</si>
  <si>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</si>
  <si>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</si>
  <si>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</si>
  <si>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</si>
  <si>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</si>
  <si>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</si>
  <si>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</si>
  <si>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</si>
  <si>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</si>
  <si>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</si>
  <si>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</si>
  <si>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</si>
  <si>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</si>
  <si>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</si>
  <si>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</si>
  <si>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</si>
  <si>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</si>
  <si>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</si>
  <si>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</si>
  <si>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</si>
  <si>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</si>
  <si>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</si>
  <si>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</si>
  <si>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</si>
  <si>
    <t>Sqrt</t>
  </si>
  <si>
    <t>ExpBySquaring</t>
  </si>
  <si>
    <t>GetDecimalPlaces</t>
  </si>
  <si>
    <t>Remainder</t>
  </si>
  <si>
    <t>Itération 6</t>
  </si>
  <si>
    <t>I*List&lt;PointD&gt;</t>
  </si>
  <si>
    <t>Aggregate</t>
  </si>
  <si>
    <t>FinishCompute</t>
  </si>
  <si>
    <t>I*List&lt;PointM&gt;</t>
  </si>
  <si>
    <t>📚</t>
  </si>
  <si>
    <t>📟</t>
  </si>
  <si>
    <t>Itération 7</t>
  </si>
  <si>
    <t>T is Decimal</t>
  </si>
  <si>
    <t>T is Double</t>
  </si>
  <si>
    <t>Itération 8</t>
  </si>
  <si>
    <t>Itération 9</t>
  </si>
  <si>
    <t>IList&lt;PointD&gt;</t>
  </si>
  <si>
    <t>IList&lt;PointM&gt;</t>
  </si>
  <si>
    <t>InitLists&lt;T&gt;</t>
  </si>
  <si>
    <t>AddDataPoint</t>
  </si>
  <si>
    <t>PointD</t>
  </si>
  <si>
    <t>PointM</t>
  </si>
  <si>
    <t>Overload</t>
  </si>
  <si>
    <t>OutputLinearRegression2</t>
  </si>
  <si>
    <t>Args</t>
  </si>
  <si>
    <t>OutputParameterMargin</t>
  </si>
  <si>
    <t>OutputXExtrapolation</t>
  </si>
  <si>
    <t>OutputYExtrapolation</t>
  </si>
  <si>
    <t>TRegression lrp, string numberFormat, bool checkBiases, TStorage? xForYExtrapolation, TStorage? yForXExtrapolation</t>
  </si>
  <si>
    <t>TRegression lrp, string numberFormat, bool checkBiases, CultureInfo ciCu, TStorage b, TStorage sr, TStorage studentLawValue</t>
  </si>
  <si>
    <t>Iteration 6</t>
  </si>
  <si>
    <t>Iteration 7</t>
  </si>
  <si>
    <t>Iteration 8</t>
  </si>
  <si>
    <t>Format / OutputLine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</si>
</sst>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>
    <font>
      <sz val="12"/>
      <color theme="1"/>
      <name val="Franklin Gothic Book"/>
      <family val="2"/>
      <scheme val="minor"/>
    </font>
    <font>
      <b/>
      <sz val="12"/>
      <color theme="1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2"/>
      <color rgb="FF006100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12"/>
      <color theme="1"/>
      <name val="Avenir Next Condensed Regula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11">
    <xf numFmtId="0" fontId="0" fillId="0" borderId="0" xfId="0"/>
    <xf numFmtId="0" fontId="1" fillId="0" borderId="0" xfId="0" applyFont="1"/>
    <xf numFmtId="9" fontId="0" fillId="0" borderId="0" xfId="1" applyFont="1"/>
    <xf numFmtId="0" fontId="4" fillId="2" borderId="0" xfId="2"/>
    <xf numFmtId="0" fontId="5" fillId="0" borderId="0" xfId="0" applyFont="1"/>
    <xf numFmtId="0" fontId="0" fillId="0" borderId="0" xfId="0" applyAlignment="1">
      <alignment vertical="center"/>
    </xf>
    <xf numFmtId="164" fontId="0" fillId="0" borderId="0" xfId="1" applyNumberFormat="1" applyFont="1"/>
    <xf numFmtId="0" fontId="6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3">
    <cellStyle name="Normal" xfId="0" builtinId="0"/>
    <cellStyle name="Pourcentage" xfId="1" builtinId="5"/>
    <cellStyle name="Satisfaisant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Franklin Gothic">
      <a:majorFont>
        <a:latin typeface="Franklin Gothic Medium" panose="020B0603020102020204"/>
        <a:ea typeface=""/>
        <a:cs typeface=""/>
        <a:font script="Jpan" typeface="HG創英角ｺﾞｼｯｸUB"/>
        <a:font script="Hang" typeface="돋움"/>
        <a:font script="Hans" typeface="隶书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C11" sqref="C11"/>
    </sheetView>
  </sheetViews>
  <sheetFormatPr baseColWidth="10" defaultRowHeight="16"/>
  <cols>
    <col min="1" max="1" width="28.7109375" customWidth="1"/>
    <col min="2" max="2" width="4.28515625" customWidth="1"/>
    <col min="3" max="3" width="5.7109375" customWidth="1"/>
    <col min="4" max="4" width="6.140625" customWidth="1"/>
    <col min="5" max="5" width="5" customWidth="1"/>
    <col min="6" max="6" width="5.7109375" customWidth="1"/>
    <col min="7" max="7" width="6.140625" customWidth="1"/>
  </cols>
  <sheetData>
    <row r="1" spans="1:7">
      <c r="A1" s="1"/>
      <c r="B1" s="8" t="s">
        <v>6</v>
      </c>
      <c r="C1" s="8"/>
      <c r="D1" s="8"/>
      <c r="E1" s="8" t="s">
        <v>25</v>
      </c>
      <c r="F1" s="8"/>
      <c r="G1" s="8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sqref="A1:C1"/>
    </sheetView>
  </sheetViews>
  <sheetFormatPr baseColWidth="10" defaultRowHeight="16"/>
  <cols>
    <col min="1" max="1" width="28" customWidth="1"/>
    <col min="2" max="2" width="12.5703125" customWidth="1"/>
    <col min="3" max="3" width="5.7109375" customWidth="1"/>
  </cols>
  <sheetData>
    <row r="1" spans="1:3">
      <c r="A1" s="1" t="s">
        <v>26</v>
      </c>
      <c r="B1" s="1" t="s">
        <v>0</v>
      </c>
      <c r="C1" s="1" t="s">
        <v>27</v>
      </c>
    </row>
    <row r="2" spans="1:3">
      <c r="A2" t="s">
        <v>15</v>
      </c>
      <c r="B2" t="s">
        <v>14</v>
      </c>
      <c r="C2">
        <v>-14</v>
      </c>
    </row>
    <row r="3" spans="1:3">
      <c r="A3" t="s">
        <v>15</v>
      </c>
      <c r="B3" t="s">
        <v>16</v>
      </c>
      <c r="C3">
        <f>(50+103)-207</f>
        <v>-54</v>
      </c>
    </row>
    <row r="4" spans="1:3">
      <c r="A4" t="s">
        <v>20</v>
      </c>
      <c r="B4" t="s">
        <v>21</v>
      </c>
      <c r="C4">
        <f>6*-14</f>
        <v>-84</v>
      </c>
    </row>
    <row r="5" spans="1:3">
      <c r="A5" t="s">
        <v>17</v>
      </c>
      <c r="B5" t="s">
        <v>18</v>
      </c>
      <c r="C5">
        <f>88-108</f>
        <v>-20</v>
      </c>
    </row>
    <row r="6" spans="1:3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C14" sqref="C14"/>
    </sheetView>
  </sheetViews>
  <sheetFormatPr baseColWidth="10" defaultRowHeight="16"/>
  <cols>
    <col min="1" max="1" width="29.5703125" customWidth="1"/>
    <col min="2" max="2" width="16.140625" customWidth="1"/>
    <col min="3" max="4" width="4.28515625" customWidth="1"/>
    <col min="5" max="5" width="4" bestFit="1" customWidth="1"/>
    <col min="6" max="6" width="4.28515625" customWidth="1"/>
  </cols>
  <sheetData>
    <row r="1" spans="1:6">
      <c r="A1" s="1" t="s">
        <v>0</v>
      </c>
      <c r="B1" s="1" t="s">
        <v>30</v>
      </c>
      <c r="C1" s="1" t="s">
        <v>28</v>
      </c>
      <c r="D1" s="1" t="s">
        <v>29</v>
      </c>
      <c r="E1" s="1" t="s">
        <v>31</v>
      </c>
      <c r="F1" s="1" t="s">
        <v>37</v>
      </c>
    </row>
    <row r="2" spans="1:6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>
      <c r="A4" t="s">
        <v>32</v>
      </c>
      <c r="B4" t="s">
        <v>23</v>
      </c>
      <c r="C4">
        <v>47</v>
      </c>
      <c r="D4">
        <v>60</v>
      </c>
    </row>
    <row r="5" spans="1:6">
      <c r="A5" t="s">
        <v>32</v>
      </c>
      <c r="B5" t="s">
        <v>33</v>
      </c>
      <c r="E5">
        <v>64</v>
      </c>
      <c r="F5">
        <v>64</v>
      </c>
    </row>
    <row r="6" spans="1:6">
      <c r="A6" t="s">
        <v>34</v>
      </c>
      <c r="B6" t="s">
        <v>35</v>
      </c>
      <c r="F6">
        <v>13</v>
      </c>
    </row>
    <row r="7" spans="1:6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AD22"/>
  <sheetViews>
    <sheetView zoomScale="130" zoomScaleNormal="130" workbookViewId="0">
      <pane xSplit="3" ySplit="2" topLeftCell="J3" activePane="bottomRight" state="frozen"/>
      <selection pane="topRight" activeCell="D1" sqref="D1"/>
      <selection pane="bottomLeft" activeCell="A3" sqref="A3"/>
      <selection pane="bottomRight" activeCell="S15" sqref="S15"/>
    </sheetView>
  </sheetViews>
  <sheetFormatPr baseColWidth="10" defaultRowHeight="16"/>
  <cols>
    <col min="1" max="1" width="13.7109375" bestFit="1" customWidth="1"/>
    <col min="2" max="2" width="12.28515625" bestFit="1" customWidth="1"/>
    <col min="3" max="3" width="17.85546875" bestFit="1" customWidth="1"/>
    <col min="4" max="5" width="5" bestFit="1" customWidth="1"/>
    <col min="6" max="6" width="5.28515625" bestFit="1" customWidth="1"/>
    <col min="7" max="7" width="5" bestFit="1" customWidth="1"/>
    <col min="8" max="9" width="3.28515625" bestFit="1" customWidth="1"/>
    <col min="10" max="10" width="5" bestFit="1" customWidth="1"/>
    <col min="11" max="12" width="3.28515625" bestFit="1" customWidth="1"/>
    <col min="13" max="13" width="5" bestFit="1" customWidth="1"/>
    <col min="14" max="15" width="3.28515625" bestFit="1" customWidth="1"/>
    <col min="16" max="16" width="5" bestFit="1" customWidth="1"/>
    <col min="17" max="18" width="3.28515625" bestFit="1" customWidth="1"/>
    <col min="19" max="19" width="5" bestFit="1" customWidth="1"/>
    <col min="20" max="21" width="3.28515625" bestFit="1" customWidth="1"/>
    <col min="22" max="22" width="5" bestFit="1" customWidth="1"/>
    <col min="23" max="24" width="3.28515625" bestFit="1" customWidth="1"/>
    <col min="25" max="25" width="5" bestFit="1" customWidth="1"/>
    <col min="26" max="27" width="3.28515625" bestFit="1" customWidth="1"/>
    <col min="28" max="28" width="5" bestFit="1" customWidth="1"/>
    <col min="29" max="29" width="4" bestFit="1" customWidth="1"/>
    <col min="30" max="30" width="3.28515625" bestFit="1" customWidth="1"/>
  </cols>
  <sheetData>
    <row r="1" spans="1:30" s="1" customFormat="1">
      <c r="D1" s="8" t="s">
        <v>6</v>
      </c>
      <c r="E1" s="8"/>
      <c r="F1" s="8"/>
      <c r="G1" s="8" t="s">
        <v>25</v>
      </c>
      <c r="H1" s="8"/>
      <c r="I1" s="8"/>
      <c r="J1" s="8" t="s">
        <v>44</v>
      </c>
      <c r="K1" s="8"/>
      <c r="L1" s="8"/>
      <c r="M1" s="8" t="s">
        <v>46</v>
      </c>
      <c r="N1" s="8"/>
      <c r="O1" s="8"/>
      <c r="P1" s="8" t="s">
        <v>47</v>
      </c>
      <c r="Q1" s="8"/>
      <c r="R1" s="8"/>
      <c r="S1" s="8" t="s">
        <v>101</v>
      </c>
      <c r="T1" s="8"/>
      <c r="U1" s="8"/>
      <c r="V1" s="8" t="s">
        <v>108</v>
      </c>
      <c r="W1" s="8"/>
      <c r="X1" s="8"/>
      <c r="Y1" s="8" t="s">
        <v>111</v>
      </c>
      <c r="Z1" s="8"/>
      <c r="AA1" s="8"/>
      <c r="AB1" s="8" t="s">
        <v>112</v>
      </c>
      <c r="AC1" s="8"/>
      <c r="AD1" s="8"/>
    </row>
    <row r="2" spans="1:30" s="1" customFormat="1">
      <c r="A2" s="1" t="s">
        <v>39</v>
      </c>
      <c r="B2" s="1" t="s">
        <v>0</v>
      </c>
      <c r="C2" s="1" t="s">
        <v>30</v>
      </c>
      <c r="D2" s="1" t="s">
        <v>1</v>
      </c>
      <c r="E2" s="1" t="s">
        <v>2</v>
      </c>
      <c r="F2" s="1" t="s">
        <v>3</v>
      </c>
      <c r="G2" s="1" t="s">
        <v>1</v>
      </c>
      <c r="H2" s="1" t="s">
        <v>106</v>
      </c>
      <c r="I2" s="1" t="s">
        <v>107</v>
      </c>
      <c r="J2" s="1" t="s">
        <v>1</v>
      </c>
      <c r="K2" s="1" t="s">
        <v>106</v>
      </c>
      <c r="L2" s="1" t="s">
        <v>107</v>
      </c>
      <c r="M2" s="1" t="s">
        <v>1</v>
      </c>
      <c r="N2" s="1" t="s">
        <v>106</v>
      </c>
      <c r="O2" s="1" t="s">
        <v>107</v>
      </c>
      <c r="P2" s="1" t="s">
        <v>1</v>
      </c>
      <c r="Q2" s="1" t="s">
        <v>106</v>
      </c>
      <c r="R2" s="1" t="s">
        <v>107</v>
      </c>
      <c r="S2" s="1" t="s">
        <v>1</v>
      </c>
      <c r="T2" s="1" t="s">
        <v>106</v>
      </c>
      <c r="U2" s="1" t="s">
        <v>107</v>
      </c>
      <c r="V2" s="1" t="s">
        <v>1</v>
      </c>
      <c r="W2" s="1" t="s">
        <v>106</v>
      </c>
      <c r="X2" s="1" t="s">
        <v>107</v>
      </c>
      <c r="Y2" s="1" t="s">
        <v>1</v>
      </c>
      <c r="Z2" s="1" t="s">
        <v>106</v>
      </c>
      <c r="AA2" s="1" t="s">
        <v>107</v>
      </c>
      <c r="AB2" s="1" t="s">
        <v>1</v>
      </c>
      <c r="AC2" s="1" t="s">
        <v>106</v>
      </c>
      <c r="AD2" s="1" t="s">
        <v>107</v>
      </c>
    </row>
    <row r="3" spans="1:30">
      <c r="A3" s="10" t="s">
        <v>40</v>
      </c>
      <c r="B3" s="9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  <c r="S3">
        <v>241</v>
      </c>
      <c r="T3">
        <v>4</v>
      </c>
      <c r="U3">
        <v>10</v>
      </c>
      <c r="V3">
        <v>241</v>
      </c>
      <c r="W3">
        <v>4</v>
      </c>
      <c r="X3">
        <v>10</v>
      </c>
      <c r="Y3">
        <v>241</v>
      </c>
      <c r="Z3">
        <v>4</v>
      </c>
      <c r="AA3">
        <v>10</v>
      </c>
      <c r="AB3">
        <v>48</v>
      </c>
      <c r="AC3">
        <v>3</v>
      </c>
      <c r="AD3">
        <v>3</v>
      </c>
    </row>
    <row r="4" spans="1:30">
      <c r="A4" s="10"/>
      <c r="B4" s="9"/>
      <c r="C4" t="s">
        <v>113</v>
      </c>
      <c r="AB4">
        <v>41</v>
      </c>
      <c r="AC4">
        <v>3</v>
      </c>
      <c r="AD4">
        <v>3</v>
      </c>
    </row>
    <row r="5" spans="1:30">
      <c r="A5" s="10"/>
      <c r="B5" s="9"/>
      <c r="C5" t="s">
        <v>43</v>
      </c>
      <c r="D5">
        <v>297</v>
      </c>
      <c r="E5">
        <v>5</v>
      </c>
      <c r="F5">
        <v>8</v>
      </c>
      <c r="G5">
        <v>287</v>
      </c>
      <c r="H5">
        <v>4</v>
      </c>
      <c r="I5">
        <v>9</v>
      </c>
      <c r="J5">
        <v>282</v>
      </c>
      <c r="K5">
        <v>4</v>
      </c>
      <c r="L5">
        <v>11</v>
      </c>
      <c r="M5">
        <v>263</v>
      </c>
      <c r="N5">
        <v>4</v>
      </c>
      <c r="O5">
        <v>10</v>
      </c>
      <c r="P5">
        <v>263</v>
      </c>
      <c r="Q5">
        <v>4</v>
      </c>
      <c r="R5">
        <v>10</v>
      </c>
      <c r="S5">
        <v>263</v>
      </c>
      <c r="T5">
        <v>4</v>
      </c>
      <c r="U5">
        <v>10</v>
      </c>
      <c r="V5">
        <v>263</v>
      </c>
      <c r="W5">
        <v>4</v>
      </c>
      <c r="X5">
        <v>10</v>
      </c>
      <c r="Y5">
        <v>263</v>
      </c>
      <c r="Z5">
        <v>4</v>
      </c>
      <c r="AA5">
        <v>10</v>
      </c>
      <c r="AB5">
        <v>48</v>
      </c>
      <c r="AC5">
        <v>3</v>
      </c>
      <c r="AD5">
        <v>3</v>
      </c>
    </row>
    <row r="6" spans="1:30">
      <c r="A6" s="10"/>
      <c r="B6" s="9"/>
      <c r="C6" t="s">
        <v>114</v>
      </c>
      <c r="AB6">
        <v>41</v>
      </c>
      <c r="AC6">
        <v>3</v>
      </c>
      <c r="AD6">
        <v>3</v>
      </c>
    </row>
    <row r="7" spans="1:30">
      <c r="A7" s="10"/>
      <c r="B7" s="5" t="s">
        <v>115</v>
      </c>
      <c r="AB7">
        <v>57</v>
      </c>
      <c r="AC7">
        <v>3</v>
      </c>
      <c r="AD7">
        <v>2</v>
      </c>
    </row>
    <row r="8" spans="1:30">
      <c r="A8" s="10"/>
      <c r="B8" s="9" t="s">
        <v>116</v>
      </c>
      <c r="C8" t="s">
        <v>117</v>
      </c>
      <c r="AB8">
        <v>76</v>
      </c>
      <c r="AC8">
        <v>3</v>
      </c>
      <c r="AD8">
        <v>4</v>
      </c>
    </row>
    <row r="9" spans="1:30">
      <c r="A9" s="10"/>
      <c r="B9" s="9"/>
      <c r="C9" t="s">
        <v>118</v>
      </c>
      <c r="AB9">
        <v>98</v>
      </c>
      <c r="AC9">
        <v>3</v>
      </c>
      <c r="AD9">
        <v>4</v>
      </c>
    </row>
    <row r="10" spans="1:30">
      <c r="A10" s="10"/>
      <c r="B10" s="9" t="s">
        <v>104</v>
      </c>
      <c r="C10" t="s">
        <v>113</v>
      </c>
      <c r="AB10">
        <v>70</v>
      </c>
      <c r="AC10">
        <v>4</v>
      </c>
      <c r="AD10">
        <v>3</v>
      </c>
    </row>
    <row r="11" spans="1:30">
      <c r="A11" s="10"/>
      <c r="B11" s="9"/>
      <c r="C11" t="s">
        <v>114</v>
      </c>
      <c r="AB11">
        <v>70</v>
      </c>
      <c r="AC11">
        <v>4</v>
      </c>
      <c r="AD11">
        <v>3</v>
      </c>
    </row>
    <row r="12" spans="1:30">
      <c r="A12" s="10" t="s">
        <v>45</v>
      </c>
      <c r="B12" s="9" t="s">
        <v>41</v>
      </c>
      <c r="C12" s="4" t="s">
        <v>102</v>
      </c>
      <c r="V12">
        <v>267</v>
      </c>
      <c r="W12">
        <v>10</v>
      </c>
      <c r="X12">
        <v>15</v>
      </c>
      <c r="Y12">
        <v>215</v>
      </c>
      <c r="Z12">
        <v>10</v>
      </c>
      <c r="AA12">
        <v>15</v>
      </c>
      <c r="AB12">
        <v>215</v>
      </c>
      <c r="AC12">
        <v>10</v>
      </c>
      <c r="AD12">
        <v>15</v>
      </c>
    </row>
    <row r="13" spans="1:30">
      <c r="A13" s="10"/>
      <c r="B13" s="9"/>
      <c r="C13" t="s">
        <v>42</v>
      </c>
      <c r="D13">
        <v>493</v>
      </c>
      <c r="E13">
        <v>12</v>
      </c>
      <c r="F13">
        <v>19</v>
      </c>
      <c r="G13">
        <v>471</v>
      </c>
      <c r="H13">
        <v>12</v>
      </c>
      <c r="I13">
        <v>21</v>
      </c>
      <c r="J13">
        <v>461</v>
      </c>
      <c r="K13">
        <v>12</v>
      </c>
      <c r="L13">
        <v>19</v>
      </c>
      <c r="M13">
        <v>453</v>
      </c>
      <c r="N13">
        <v>12</v>
      </c>
      <c r="O13">
        <v>16</v>
      </c>
      <c r="P13">
        <v>447</v>
      </c>
      <c r="Q13">
        <v>12</v>
      </c>
      <c r="R13">
        <v>16</v>
      </c>
      <c r="S13">
        <v>447</v>
      </c>
      <c r="T13">
        <v>12</v>
      </c>
      <c r="U13">
        <v>16</v>
      </c>
      <c r="V13">
        <v>253</v>
      </c>
      <c r="W13">
        <v>10</v>
      </c>
      <c r="X13">
        <v>14</v>
      </c>
      <c r="Y13">
        <v>199</v>
      </c>
      <c r="Z13">
        <v>10</v>
      </c>
      <c r="AA13">
        <v>14</v>
      </c>
      <c r="AB13">
        <v>199</v>
      </c>
      <c r="AC13">
        <v>10</v>
      </c>
      <c r="AD13">
        <v>14</v>
      </c>
    </row>
    <row r="14" spans="1:30">
      <c r="A14" s="10"/>
      <c r="B14" s="9"/>
      <c r="C14" s="4" t="s">
        <v>105</v>
      </c>
      <c r="V14">
        <v>257</v>
      </c>
      <c r="W14">
        <v>10</v>
      </c>
      <c r="X14">
        <v>15</v>
      </c>
      <c r="Y14">
        <v>220</v>
      </c>
      <c r="Z14">
        <v>10</v>
      </c>
      <c r="AA14">
        <v>15</v>
      </c>
      <c r="AB14">
        <v>220</v>
      </c>
      <c r="AC14">
        <v>10</v>
      </c>
      <c r="AD14">
        <v>15</v>
      </c>
    </row>
    <row r="15" spans="1:30">
      <c r="A15" s="10"/>
      <c r="B15" s="9"/>
      <c r="C15" t="s">
        <v>43</v>
      </c>
      <c r="D15">
        <v>596</v>
      </c>
      <c r="E15">
        <v>12</v>
      </c>
      <c r="F15">
        <v>19</v>
      </c>
      <c r="G15">
        <v>568</v>
      </c>
      <c r="H15">
        <v>12</v>
      </c>
      <c r="I15">
        <v>21</v>
      </c>
      <c r="J15">
        <v>558</v>
      </c>
      <c r="K15">
        <v>12</v>
      </c>
      <c r="L15">
        <v>19</v>
      </c>
      <c r="M15">
        <v>550</v>
      </c>
      <c r="N15">
        <v>12</v>
      </c>
      <c r="O15">
        <v>16</v>
      </c>
      <c r="P15">
        <v>543</v>
      </c>
      <c r="Q15">
        <v>12</v>
      </c>
      <c r="R15">
        <v>16</v>
      </c>
      <c r="S15">
        <v>543</v>
      </c>
      <c r="T15">
        <v>12</v>
      </c>
      <c r="U15">
        <v>16</v>
      </c>
      <c r="V15">
        <v>253</v>
      </c>
      <c r="W15">
        <v>10</v>
      </c>
      <c r="X15">
        <v>14</v>
      </c>
      <c r="Y15">
        <v>215</v>
      </c>
      <c r="Z15">
        <v>10</v>
      </c>
      <c r="AA15">
        <v>14</v>
      </c>
      <c r="AB15">
        <v>215</v>
      </c>
      <c r="AC15">
        <v>10</v>
      </c>
      <c r="AD15">
        <v>14</v>
      </c>
    </row>
    <row r="16" spans="1:30">
      <c r="A16" s="10"/>
      <c r="B16" s="9" t="s">
        <v>103</v>
      </c>
      <c r="C16" t="s">
        <v>110</v>
      </c>
      <c r="V16">
        <v>52</v>
      </c>
      <c r="W16">
        <v>4</v>
      </c>
      <c r="X16">
        <v>2</v>
      </c>
      <c r="Y16">
        <v>51</v>
      </c>
      <c r="Z16">
        <v>4</v>
      </c>
      <c r="AA16">
        <v>2</v>
      </c>
      <c r="AB16">
        <v>51</v>
      </c>
      <c r="AC16">
        <v>4</v>
      </c>
      <c r="AD16">
        <v>2</v>
      </c>
    </row>
    <row r="17" spans="1:30">
      <c r="A17" s="10"/>
      <c r="B17" s="9"/>
      <c r="C17" t="s">
        <v>109</v>
      </c>
      <c r="V17">
        <v>120</v>
      </c>
      <c r="W17">
        <v>4</v>
      </c>
      <c r="X17">
        <v>2</v>
      </c>
      <c r="Y17">
        <v>119</v>
      </c>
      <c r="Z17">
        <v>4</v>
      </c>
      <c r="AA17">
        <v>2</v>
      </c>
      <c r="AB17">
        <v>119</v>
      </c>
      <c r="AC17">
        <v>4</v>
      </c>
      <c r="AD17">
        <v>2</v>
      </c>
    </row>
    <row r="18" spans="1:30">
      <c r="A18" s="10"/>
      <c r="B18" s="9" t="s">
        <v>104</v>
      </c>
      <c r="C18" t="s">
        <v>110</v>
      </c>
      <c r="V18">
        <v>98</v>
      </c>
      <c r="W18">
        <v>12</v>
      </c>
      <c r="X18">
        <v>1</v>
      </c>
      <c r="Y18">
        <v>98</v>
      </c>
      <c r="Z18">
        <v>12</v>
      </c>
      <c r="AA18">
        <v>1</v>
      </c>
      <c r="AB18">
        <v>98</v>
      </c>
      <c r="AC18">
        <v>12</v>
      </c>
      <c r="AD18">
        <v>1</v>
      </c>
    </row>
    <row r="19" spans="1:30">
      <c r="A19" s="10"/>
      <c r="B19" s="9"/>
      <c r="C19" t="s">
        <v>109</v>
      </c>
      <c r="V19">
        <v>147</v>
      </c>
      <c r="W19">
        <v>12</v>
      </c>
      <c r="X19">
        <v>1</v>
      </c>
      <c r="Y19">
        <v>147</v>
      </c>
      <c r="Z19">
        <v>12</v>
      </c>
      <c r="AA19">
        <v>1</v>
      </c>
      <c r="AB19">
        <v>147</v>
      </c>
      <c r="AC19">
        <v>12</v>
      </c>
      <c r="AD19">
        <v>1</v>
      </c>
    </row>
    <row r="20" spans="1:30">
      <c r="D20" s="1">
        <f t="shared" ref="D20:Z20" si="0">SUM(D3:D19)</f>
        <v>1661</v>
      </c>
      <c r="E20" s="1">
        <f t="shared" si="0"/>
        <v>34</v>
      </c>
      <c r="F20" s="1">
        <f t="shared" si="0"/>
        <v>54</v>
      </c>
      <c r="G20" s="1">
        <f t="shared" si="0"/>
        <v>1588</v>
      </c>
      <c r="H20" s="1">
        <f t="shared" si="0"/>
        <v>32</v>
      </c>
      <c r="I20" s="1">
        <f t="shared" si="0"/>
        <v>60</v>
      </c>
      <c r="J20" s="1">
        <f t="shared" si="0"/>
        <v>1561</v>
      </c>
      <c r="K20" s="1">
        <f t="shared" si="0"/>
        <v>32</v>
      </c>
      <c r="L20" s="1">
        <f t="shared" si="0"/>
        <v>60</v>
      </c>
      <c r="M20" s="1">
        <f t="shared" si="0"/>
        <v>1507</v>
      </c>
      <c r="N20" s="1">
        <f t="shared" si="0"/>
        <v>32</v>
      </c>
      <c r="O20" s="1">
        <f t="shared" si="0"/>
        <v>52</v>
      </c>
      <c r="P20" s="1">
        <f t="shared" si="0"/>
        <v>1494</v>
      </c>
      <c r="Q20" s="1">
        <f t="shared" si="0"/>
        <v>32</v>
      </c>
      <c r="R20" s="1">
        <f t="shared" si="0"/>
        <v>52</v>
      </c>
      <c r="S20" s="1">
        <f t="shared" si="0"/>
        <v>1494</v>
      </c>
      <c r="T20" s="1">
        <f t="shared" si="0"/>
        <v>32</v>
      </c>
      <c r="U20" s="1">
        <f t="shared" si="0"/>
        <v>52</v>
      </c>
      <c r="V20" s="1">
        <f t="shared" si="0"/>
        <v>1951</v>
      </c>
      <c r="W20" s="1">
        <f t="shared" si="0"/>
        <v>80</v>
      </c>
      <c r="X20" s="1">
        <f t="shared" si="0"/>
        <v>84</v>
      </c>
      <c r="Y20" s="1">
        <f t="shared" si="0"/>
        <v>1768</v>
      </c>
      <c r="Z20" s="1">
        <f t="shared" si="0"/>
        <v>80</v>
      </c>
      <c r="AA20" s="1">
        <f t="shared" ref="AA20" si="1">SUM(AA3:AA19)</f>
        <v>84</v>
      </c>
      <c r="AB20" s="1">
        <f>SUM(AB3:AB19)</f>
        <v>1813</v>
      </c>
      <c r="AC20" s="1">
        <f>SUM(AC3:AC19)</f>
        <v>101</v>
      </c>
      <c r="AD20" s="1">
        <f>SUM(AD3:AD19)</f>
        <v>92</v>
      </c>
    </row>
    <row r="21" spans="1:30">
      <c r="P21">
        <f>P20-D20</f>
        <v>-167</v>
      </c>
    </row>
    <row r="22" spans="1:30">
      <c r="P22" s="2">
        <f>P21/D20</f>
        <v>-0.10054184226369657</v>
      </c>
    </row>
  </sheetData>
  <mergeCells count="17">
    <mergeCell ref="A12:A19"/>
    <mergeCell ref="B12:B15"/>
    <mergeCell ref="V1:X1"/>
    <mergeCell ref="S1:U1"/>
    <mergeCell ref="A3:A11"/>
    <mergeCell ref="D1:F1"/>
    <mergeCell ref="G1:I1"/>
    <mergeCell ref="J1:L1"/>
    <mergeCell ref="M1:O1"/>
    <mergeCell ref="P1:R1"/>
    <mergeCell ref="B16:B17"/>
    <mergeCell ref="B18:B19"/>
    <mergeCell ref="B3:B6"/>
    <mergeCell ref="B8:B9"/>
    <mergeCell ref="B10:B11"/>
    <mergeCell ref="AB1:AD1"/>
    <mergeCell ref="Y1:AA1"/>
  </mergeCells>
  <phoneticPr fontId="3" type="noConversion"/>
  <pageMargins left="0.7" right="0.7" top="0.75" bottom="0.75" header="0.3" footer="0.3"/>
  <pageSetup paperSize="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sqref="A1:G2"/>
    </sheetView>
  </sheetViews>
  <sheetFormatPr baseColWidth="10" defaultRowHeight="16"/>
  <cols>
    <col min="1" max="1" width="22.28515625" customWidth="1"/>
    <col min="2" max="2" width="5.28515625" customWidth="1"/>
    <col min="3" max="3" width="5.7109375" customWidth="1"/>
    <col min="4" max="4" width="6.140625" customWidth="1"/>
    <col min="5" max="5" width="5.5703125" customWidth="1"/>
    <col min="6" max="6" width="5.7109375" customWidth="1"/>
    <col min="7" max="7" width="6.140625" customWidth="1"/>
  </cols>
  <sheetData>
    <row r="1" spans="1:7">
      <c r="A1" s="1"/>
      <c r="B1" s="8" t="s">
        <v>48</v>
      </c>
      <c r="C1" s="8"/>
      <c r="D1" s="8"/>
      <c r="E1" s="8" t="s">
        <v>49</v>
      </c>
      <c r="F1" s="8"/>
      <c r="G1" s="8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50</v>
      </c>
      <c r="E3">
        <v>20</v>
      </c>
      <c r="F3">
        <v>2</v>
      </c>
      <c r="G3">
        <v>1</v>
      </c>
    </row>
    <row r="4" spans="1:7">
      <c r="A4" t="s">
        <v>52</v>
      </c>
      <c r="B4">
        <v>127</v>
      </c>
      <c r="C4">
        <v>4</v>
      </c>
      <c r="D4">
        <v>4</v>
      </c>
    </row>
    <row r="5" spans="1:7">
      <c r="A5" t="s">
        <v>51</v>
      </c>
      <c r="B5">
        <v>29</v>
      </c>
      <c r="C5">
        <v>3</v>
      </c>
      <c r="D5">
        <v>1</v>
      </c>
    </row>
    <row r="6" spans="1:7">
      <c r="A6" t="s">
        <v>53</v>
      </c>
      <c r="B6">
        <v>153</v>
      </c>
      <c r="C6">
        <v>6</v>
      </c>
      <c r="D6">
        <v>4</v>
      </c>
    </row>
    <row r="7" spans="1:7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>
      <c r="A8" t="s">
        <v>55</v>
      </c>
      <c r="B8">
        <v>284</v>
      </c>
      <c r="C8">
        <v>6</v>
      </c>
      <c r="D8">
        <v>6</v>
      </c>
    </row>
    <row r="9" spans="1:7">
      <c r="A9" t="s">
        <v>56</v>
      </c>
      <c r="E9">
        <v>45</v>
      </c>
      <c r="F9">
        <v>4</v>
      </c>
      <c r="G9">
        <v>1</v>
      </c>
    </row>
    <row r="10" spans="1:7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>
      <c r="A12" t="s">
        <v>59</v>
      </c>
      <c r="B12">
        <v>44</v>
      </c>
      <c r="C12">
        <v>2</v>
      </c>
      <c r="D12">
        <v>4</v>
      </c>
    </row>
    <row r="13" spans="1:7">
      <c r="A13" t="s">
        <v>60</v>
      </c>
      <c r="E13">
        <v>64</v>
      </c>
      <c r="F13">
        <v>4</v>
      </c>
      <c r="G13">
        <v>2</v>
      </c>
    </row>
    <row r="14" spans="1:7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>
      <c r="A17" t="s">
        <v>64</v>
      </c>
      <c r="E17">
        <v>34</v>
      </c>
      <c r="F17">
        <v>8</v>
      </c>
      <c r="G17">
        <v>0</v>
      </c>
    </row>
    <row r="18" spans="1:7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>
      <c r="E19">
        <f>E18-B18</f>
        <v>-752</v>
      </c>
    </row>
    <row r="20" spans="1:7">
      <c r="E20" s="2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sqref="A1:P2"/>
    </sheetView>
  </sheetViews>
  <sheetFormatPr baseColWidth="10" defaultRowHeight="16"/>
  <cols>
    <col min="1" max="1" width="15.7109375" customWidth="1"/>
    <col min="2" max="3" width="5.7109375" customWidth="1"/>
    <col min="4" max="4" width="6.5703125" customWidth="1"/>
    <col min="5" max="6" width="5.7109375" customWidth="1"/>
    <col min="7" max="7" width="6.5703125" customWidth="1"/>
    <col min="8" max="9" width="5.7109375" customWidth="1"/>
    <col min="10" max="10" width="6.5703125" customWidth="1"/>
    <col min="11" max="12" width="5.7109375" customWidth="1"/>
    <col min="13" max="13" width="6.5703125" customWidth="1"/>
    <col min="14" max="15" width="5.7109375" customWidth="1"/>
    <col min="16" max="16" width="6.5703125" customWidth="1"/>
  </cols>
  <sheetData>
    <row r="1" spans="1:16">
      <c r="A1" s="1"/>
      <c r="B1" s="8" t="s">
        <v>69</v>
      </c>
      <c r="C1" s="8"/>
      <c r="D1" s="8"/>
      <c r="E1" s="8" t="s">
        <v>72</v>
      </c>
      <c r="F1" s="8"/>
      <c r="G1" s="8"/>
      <c r="H1" s="8" t="s">
        <v>73</v>
      </c>
      <c r="I1" s="8"/>
      <c r="J1" s="8"/>
      <c r="K1" s="8" t="s">
        <v>74</v>
      </c>
      <c r="L1" s="8"/>
      <c r="M1" s="8"/>
      <c r="N1" s="8" t="s">
        <v>75</v>
      </c>
      <c r="O1" s="8"/>
      <c r="P1" s="8"/>
    </row>
    <row r="2" spans="1:16">
      <c r="A2" s="1" t="s">
        <v>68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  <c r="K2" s="1" t="s">
        <v>65</v>
      </c>
      <c r="L2" s="1" t="s">
        <v>66</v>
      </c>
      <c r="M2" s="1" t="s">
        <v>67</v>
      </c>
      <c r="N2" s="1" t="s">
        <v>65</v>
      </c>
      <c r="O2" s="1" t="s">
        <v>66</v>
      </c>
      <c r="P2" s="1" t="s">
        <v>67</v>
      </c>
    </row>
    <row r="3" spans="1:16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>
      <c r="N6">
        <f>N5-B5</f>
        <v>-127</v>
      </c>
    </row>
    <row r="7" spans="1:16">
      <c r="N7" s="2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J35"/>
  <sheetViews>
    <sheetView zoomScale="130" zoomScaleNormal="130" workbookViewId="0">
      <selection sqref="A1:D2"/>
    </sheetView>
  </sheetViews>
  <sheetFormatPr baseColWidth="10" defaultRowHeight="16"/>
  <cols>
    <col min="1" max="1" width="23.7109375" customWidth="1"/>
    <col min="2" max="2" width="5.7109375" customWidth="1"/>
    <col min="3" max="3" width="6" customWidth="1"/>
    <col min="4" max="4" width="6.7109375" customWidth="1"/>
    <col min="5" max="5" width="5.7109375" customWidth="1"/>
    <col min="6" max="6" width="6" customWidth="1"/>
    <col min="7" max="7" width="6.7109375" customWidth="1"/>
    <col min="8" max="8" width="5.7109375" customWidth="1"/>
    <col min="9" max="9" width="6" customWidth="1"/>
    <col min="10" max="10" width="6.7109375" customWidth="1"/>
  </cols>
  <sheetData>
    <row r="1" spans="1:10">
      <c r="A1" s="1"/>
      <c r="B1" s="8" t="s">
        <v>77</v>
      </c>
      <c r="C1" s="8"/>
      <c r="D1" s="8"/>
      <c r="E1" s="8" t="s">
        <v>69</v>
      </c>
      <c r="F1" s="8"/>
      <c r="G1" s="8"/>
      <c r="H1" s="8" t="s">
        <v>72</v>
      </c>
      <c r="I1" s="8"/>
      <c r="J1" s="8"/>
    </row>
    <row r="2" spans="1:10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</row>
    <row r="3" spans="1:10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</row>
    <row r="4" spans="1:10">
      <c r="A4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</row>
    <row r="5" spans="1:10">
      <c r="A5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</row>
    <row r="6" spans="1:10">
      <c r="A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0">
      <c r="A7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0">
      <c r="A8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0">
      <c r="A9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0">
      <c r="A10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0">
      <c r="A11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0">
      <c r="A12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0">
      <c r="A13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0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</row>
    <row r="15" spans="1:10">
      <c r="A15" s="3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0">
      <c r="A16" s="3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0">
      <c r="A17" s="3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0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0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0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0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0">
      <c r="B22" s="1">
        <f>SUM(B3:B21)</f>
        <v>2871</v>
      </c>
      <c r="C22" s="1">
        <f t="shared" ref="C22:J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</row>
    <row r="24" spans="1:10">
      <c r="A24" s="3" t="s">
        <v>94</v>
      </c>
      <c r="B24">
        <v>347</v>
      </c>
      <c r="C24">
        <v>5</v>
      </c>
      <c r="D24">
        <v>4</v>
      </c>
      <c r="E24">
        <v>323</v>
      </c>
      <c r="F24">
        <v>5</v>
      </c>
      <c r="G24">
        <v>6</v>
      </c>
    </row>
    <row r="25" spans="1:10">
      <c r="A25" s="3" t="s">
        <v>96</v>
      </c>
      <c r="B25">
        <v>263</v>
      </c>
      <c r="C25">
        <v>6</v>
      </c>
      <c r="D25">
        <v>1</v>
      </c>
      <c r="E25">
        <v>194</v>
      </c>
      <c r="F25">
        <v>6</v>
      </c>
      <c r="G25">
        <v>3</v>
      </c>
    </row>
    <row r="26" spans="1:10">
      <c r="A26" s="3" t="s">
        <v>84</v>
      </c>
      <c r="B26">
        <v>285</v>
      </c>
      <c r="C26">
        <v>6</v>
      </c>
      <c r="D26">
        <v>4</v>
      </c>
      <c r="E26">
        <v>254</v>
      </c>
      <c r="F26">
        <v>6</v>
      </c>
      <c r="G26">
        <v>6</v>
      </c>
    </row>
    <row r="27" spans="1:10">
      <c r="A27" t="s">
        <v>78</v>
      </c>
      <c r="B27">
        <v>285</v>
      </c>
      <c r="C27">
        <v>6</v>
      </c>
      <c r="D27">
        <v>5</v>
      </c>
      <c r="E27">
        <v>244</v>
      </c>
      <c r="F27">
        <v>6</v>
      </c>
      <c r="G27">
        <v>8</v>
      </c>
    </row>
    <row r="28" spans="1:10">
      <c r="A28" s="3" t="s">
        <v>87</v>
      </c>
      <c r="B28">
        <v>281</v>
      </c>
      <c r="C28">
        <v>6</v>
      </c>
      <c r="D28">
        <v>4</v>
      </c>
      <c r="E28">
        <v>250</v>
      </c>
      <c r="F28">
        <v>6</v>
      </c>
      <c r="G28">
        <v>6</v>
      </c>
    </row>
    <row r="29" spans="1:10">
      <c r="A29" s="3" t="s">
        <v>97</v>
      </c>
      <c r="B29">
        <v>160</v>
      </c>
      <c r="C29">
        <v>6</v>
      </c>
      <c r="D29">
        <v>4</v>
      </c>
      <c r="E29">
        <v>160</v>
      </c>
      <c r="F29">
        <v>6</v>
      </c>
      <c r="G29">
        <v>4</v>
      </c>
    </row>
    <row r="30" spans="1:10">
      <c r="A30" t="s">
        <v>98</v>
      </c>
      <c r="B30">
        <v>176</v>
      </c>
      <c r="C30">
        <v>3</v>
      </c>
      <c r="D30">
        <v>2</v>
      </c>
      <c r="E30">
        <v>77</v>
      </c>
      <c r="F30">
        <v>3</v>
      </c>
      <c r="G30">
        <v>2</v>
      </c>
    </row>
    <row r="31" spans="1:10">
      <c r="A31" t="s">
        <v>99</v>
      </c>
      <c r="B31">
        <v>99</v>
      </c>
      <c r="C31">
        <v>4</v>
      </c>
      <c r="D31">
        <v>3</v>
      </c>
      <c r="E31">
        <v>99</v>
      </c>
      <c r="F31">
        <v>4</v>
      </c>
      <c r="G31">
        <v>3</v>
      </c>
    </row>
    <row r="32" spans="1:10">
      <c r="A32" t="s">
        <v>100</v>
      </c>
      <c r="B32">
        <v>186</v>
      </c>
      <c r="C32">
        <v>5</v>
      </c>
      <c r="D32">
        <v>5</v>
      </c>
      <c r="E32">
        <v>189</v>
      </c>
      <c r="F32">
        <v>5</v>
      </c>
      <c r="G32">
        <v>6</v>
      </c>
    </row>
    <row r="33" spans="2:7">
      <c r="B33" s="1">
        <f>SUM(B24:B32)</f>
        <v>2082</v>
      </c>
      <c r="C33">
        <f t="shared" ref="C33:G33" si="1">SUM(C24:C32)</f>
        <v>47</v>
      </c>
      <c r="D33">
        <f t="shared" si="1"/>
        <v>32</v>
      </c>
      <c r="E33" s="1">
        <f t="shared" si="1"/>
        <v>1790</v>
      </c>
      <c r="F33">
        <f t="shared" si="1"/>
        <v>47</v>
      </c>
      <c r="G33">
        <f t="shared" si="1"/>
        <v>44</v>
      </c>
    </row>
    <row r="34" spans="2:7">
      <c r="E34">
        <f>E33-B33</f>
        <v>-292</v>
      </c>
    </row>
    <row r="35" spans="2:7">
      <c r="E35" s="2">
        <f>E34/B33</f>
        <v>-0.14024975984630164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323DF-4A97-4C48-B3D4-92F5ADBE433C}">
  <dimension ref="A1:AH10"/>
  <sheetViews>
    <sheetView tabSelected="1" zoomScale="130" zoomScaleNormal="13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T9" sqref="T9:AB10"/>
    </sheetView>
  </sheetViews>
  <sheetFormatPr baseColWidth="10" defaultRowHeight="16"/>
  <cols>
    <col min="1" max="1" width="20" bestFit="1" customWidth="1"/>
    <col min="2" max="2" width="42.85546875" bestFit="1" customWidth="1"/>
    <col min="3" max="3" width="4.140625" bestFit="1" customWidth="1"/>
    <col min="4" max="4" width="4.7109375" bestFit="1" customWidth="1"/>
    <col min="5" max="5" width="5.140625" bestFit="1" customWidth="1"/>
    <col min="6" max="6" width="5.7109375" bestFit="1" customWidth="1"/>
    <col min="7" max="7" width="4.140625" bestFit="1" customWidth="1"/>
    <col min="8" max="8" width="4.7109375" bestFit="1" customWidth="1"/>
    <col min="9" max="9" width="5.140625" bestFit="1" customWidth="1"/>
    <col min="10" max="10" width="5.7109375" bestFit="1" customWidth="1"/>
    <col min="11" max="11" width="4.140625" bestFit="1" customWidth="1"/>
    <col min="12" max="13" width="5.140625" bestFit="1" customWidth="1"/>
    <col min="14" max="14" width="5.7109375" bestFit="1" customWidth="1"/>
    <col min="15" max="15" width="4.140625" bestFit="1" customWidth="1"/>
    <col min="16" max="17" width="5.140625" bestFit="1" customWidth="1"/>
    <col min="18" max="18" width="5.7109375" bestFit="1" customWidth="1"/>
    <col min="19" max="19" width="4.140625" bestFit="1" customWidth="1"/>
    <col min="20" max="20" width="4.7109375" bestFit="1" customWidth="1"/>
    <col min="21" max="21" width="5.140625" bestFit="1" customWidth="1"/>
    <col min="22" max="22" width="5.7109375" bestFit="1" customWidth="1"/>
    <col min="23" max="23" width="4.140625" bestFit="1" customWidth="1"/>
    <col min="24" max="24" width="5" bestFit="1" customWidth="1"/>
    <col min="25" max="25" width="5.140625" bestFit="1" customWidth="1"/>
    <col min="26" max="26" width="5.7109375" bestFit="1" customWidth="1"/>
    <col min="27" max="27" width="4.140625" bestFit="1" customWidth="1"/>
    <col min="28" max="28" width="4.7109375" bestFit="1" customWidth="1"/>
    <col min="29" max="29" width="5.140625" bestFit="1" customWidth="1"/>
    <col min="30" max="30" width="5.7109375" bestFit="1" customWidth="1"/>
    <col min="31" max="31" width="4.140625" bestFit="1" customWidth="1"/>
    <col min="32" max="32" width="4.7109375" bestFit="1" customWidth="1"/>
    <col min="33" max="33" width="5.140625" bestFit="1" customWidth="1"/>
    <col min="34" max="34" width="5.7109375" bestFit="1" customWidth="1"/>
  </cols>
  <sheetData>
    <row r="1" spans="1:34" s="1" customFormat="1">
      <c r="C1" s="8" t="s">
        <v>69</v>
      </c>
      <c r="D1" s="8"/>
      <c r="E1" s="8"/>
      <c r="F1" s="8"/>
      <c r="G1" s="8" t="s">
        <v>72</v>
      </c>
      <c r="H1" s="8"/>
      <c r="I1" s="8"/>
      <c r="J1" s="8"/>
      <c r="K1" s="8" t="s">
        <v>73</v>
      </c>
      <c r="L1" s="8"/>
      <c r="M1" s="8"/>
      <c r="N1" s="8"/>
      <c r="O1" s="8" t="s">
        <v>74</v>
      </c>
      <c r="P1" s="8"/>
      <c r="Q1" s="8"/>
      <c r="R1" s="8"/>
      <c r="S1" s="8" t="s">
        <v>75</v>
      </c>
      <c r="T1" s="8"/>
      <c r="U1" s="8"/>
      <c r="V1" s="8"/>
      <c r="W1" s="8" t="s">
        <v>127</v>
      </c>
      <c r="X1" s="8"/>
      <c r="Y1" s="8"/>
      <c r="Z1" s="8"/>
      <c r="AA1" s="8" t="s">
        <v>128</v>
      </c>
      <c r="AB1" s="8"/>
      <c r="AC1" s="8"/>
      <c r="AD1" s="8"/>
      <c r="AE1" s="8" t="s">
        <v>129</v>
      </c>
      <c r="AF1" s="8"/>
      <c r="AG1" s="8"/>
      <c r="AH1" s="8"/>
    </row>
    <row r="2" spans="1:34" s="1" customFormat="1">
      <c r="A2" s="1" t="s">
        <v>76</v>
      </c>
      <c r="B2" s="1" t="s">
        <v>119</v>
      </c>
      <c r="C2" s="1" t="s">
        <v>121</v>
      </c>
      <c r="D2" s="1" t="s">
        <v>65</v>
      </c>
      <c r="E2" s="1" t="s">
        <v>66</v>
      </c>
      <c r="F2" s="1" t="s">
        <v>67</v>
      </c>
      <c r="G2" s="1" t="s">
        <v>121</v>
      </c>
      <c r="H2" s="1" t="s">
        <v>65</v>
      </c>
      <c r="I2" s="1" t="s">
        <v>66</v>
      </c>
      <c r="J2" s="1" t="s">
        <v>67</v>
      </c>
      <c r="K2" s="1" t="s">
        <v>121</v>
      </c>
      <c r="L2" s="1" t="s">
        <v>65</v>
      </c>
      <c r="M2" s="1" t="s">
        <v>66</v>
      </c>
      <c r="N2" s="1" t="s">
        <v>67</v>
      </c>
      <c r="O2" s="1" t="s">
        <v>121</v>
      </c>
      <c r="P2" s="1" t="s">
        <v>65</v>
      </c>
      <c r="Q2" s="1" t="s">
        <v>66</v>
      </c>
      <c r="R2" s="1" t="s">
        <v>67</v>
      </c>
      <c r="S2" s="1" t="s">
        <v>121</v>
      </c>
      <c r="T2" s="1" t="s">
        <v>65</v>
      </c>
      <c r="U2" s="1" t="s">
        <v>66</v>
      </c>
      <c r="V2" s="1" t="s">
        <v>67</v>
      </c>
      <c r="W2" s="1" t="s">
        <v>121</v>
      </c>
      <c r="X2" s="1" t="s">
        <v>65</v>
      </c>
      <c r="Y2" s="1" t="s">
        <v>66</v>
      </c>
      <c r="Z2" s="1" t="s">
        <v>67</v>
      </c>
      <c r="AA2" s="1" t="s">
        <v>121</v>
      </c>
      <c r="AB2" s="1" t="s">
        <v>65</v>
      </c>
      <c r="AC2" s="1" t="s">
        <v>66</v>
      </c>
      <c r="AD2" s="1" t="s">
        <v>67</v>
      </c>
      <c r="AE2" s="1" t="s">
        <v>121</v>
      </c>
      <c r="AF2" s="1" t="s">
        <v>65</v>
      </c>
      <c r="AG2" s="1" t="s">
        <v>66</v>
      </c>
      <c r="AH2" s="1" t="s">
        <v>67</v>
      </c>
    </row>
    <row r="3" spans="1:34" ht="36">
      <c r="A3" t="s">
        <v>120</v>
      </c>
      <c r="B3" s="7" t="s">
        <v>125</v>
      </c>
      <c r="C3">
        <v>5</v>
      </c>
      <c r="D3">
        <v>664</v>
      </c>
      <c r="E3">
        <v>7</v>
      </c>
      <c r="F3">
        <v>7</v>
      </c>
      <c r="G3">
        <v>5</v>
      </c>
      <c r="H3">
        <v>663</v>
      </c>
      <c r="I3">
        <v>7</v>
      </c>
      <c r="J3">
        <v>7</v>
      </c>
      <c r="K3">
        <v>5</v>
      </c>
      <c r="L3">
        <v>231</v>
      </c>
      <c r="M3">
        <v>7</v>
      </c>
      <c r="N3">
        <v>5</v>
      </c>
      <c r="O3">
        <v>5</v>
      </c>
      <c r="P3">
        <v>231</v>
      </c>
      <c r="Q3">
        <v>7</v>
      </c>
      <c r="R3">
        <v>5</v>
      </c>
      <c r="S3">
        <v>5</v>
      </c>
      <c r="T3">
        <v>231</v>
      </c>
      <c r="U3">
        <v>7</v>
      </c>
      <c r="V3">
        <v>5</v>
      </c>
      <c r="W3">
        <v>5</v>
      </c>
      <c r="X3">
        <v>220</v>
      </c>
      <c r="Y3">
        <v>7</v>
      </c>
      <c r="Z3">
        <v>5</v>
      </c>
      <c r="AA3">
        <v>5</v>
      </c>
      <c r="AB3">
        <v>220</v>
      </c>
      <c r="AC3">
        <v>8</v>
      </c>
      <c r="AD3">
        <v>4</v>
      </c>
      <c r="AE3">
        <v>5</v>
      </c>
      <c r="AF3">
        <v>215</v>
      </c>
      <c r="AG3">
        <v>8</v>
      </c>
      <c r="AH3">
        <v>4</v>
      </c>
    </row>
    <row r="4" spans="1:34" ht="36">
      <c r="B4" s="7" t="s">
        <v>126</v>
      </c>
      <c r="K4">
        <v>7</v>
      </c>
      <c r="L4">
        <v>399</v>
      </c>
      <c r="M4">
        <v>6</v>
      </c>
      <c r="N4">
        <v>1</v>
      </c>
      <c r="O4">
        <v>7</v>
      </c>
      <c r="P4">
        <v>396</v>
      </c>
      <c r="Q4">
        <v>6</v>
      </c>
      <c r="R4">
        <v>1</v>
      </c>
      <c r="S4">
        <v>7</v>
      </c>
      <c r="T4">
        <v>396</v>
      </c>
      <c r="U4">
        <v>6</v>
      </c>
      <c r="V4">
        <v>1</v>
      </c>
      <c r="W4">
        <v>7</v>
      </c>
      <c r="X4">
        <v>377</v>
      </c>
      <c r="Y4">
        <v>6</v>
      </c>
      <c r="Z4">
        <v>1</v>
      </c>
      <c r="AA4">
        <v>7</v>
      </c>
      <c r="AB4">
        <v>342</v>
      </c>
      <c r="AC4">
        <v>6</v>
      </c>
      <c r="AD4">
        <v>1</v>
      </c>
      <c r="AE4">
        <v>7</v>
      </c>
      <c r="AF4">
        <v>337</v>
      </c>
      <c r="AG4">
        <v>7</v>
      </c>
      <c r="AH4">
        <v>1</v>
      </c>
    </row>
    <row r="5" spans="1:34">
      <c r="A5" t="s">
        <v>122</v>
      </c>
      <c r="C5">
        <v>6</v>
      </c>
      <c r="D5">
        <v>62</v>
      </c>
      <c r="E5">
        <v>6</v>
      </c>
      <c r="F5">
        <v>2</v>
      </c>
      <c r="G5">
        <v>6</v>
      </c>
      <c r="H5">
        <v>62</v>
      </c>
      <c r="I5">
        <v>6</v>
      </c>
      <c r="J5">
        <v>2</v>
      </c>
      <c r="K5">
        <v>6</v>
      </c>
      <c r="L5">
        <v>62</v>
      </c>
      <c r="M5">
        <v>6</v>
      </c>
      <c r="N5">
        <v>2</v>
      </c>
      <c r="O5">
        <v>6</v>
      </c>
      <c r="P5">
        <v>60</v>
      </c>
      <c r="Q5">
        <v>6</v>
      </c>
      <c r="R5">
        <v>2</v>
      </c>
      <c r="S5">
        <v>6</v>
      </c>
      <c r="T5">
        <v>60</v>
      </c>
      <c r="U5">
        <v>6</v>
      </c>
      <c r="V5">
        <v>2</v>
      </c>
      <c r="W5">
        <v>6</v>
      </c>
      <c r="X5">
        <v>60</v>
      </c>
      <c r="Y5">
        <v>6</v>
      </c>
      <c r="Z5">
        <v>2</v>
      </c>
      <c r="AA5">
        <v>6</v>
      </c>
      <c r="AB5">
        <v>60</v>
      </c>
      <c r="AC5">
        <v>6</v>
      </c>
      <c r="AD5">
        <v>2</v>
      </c>
      <c r="AE5">
        <v>6</v>
      </c>
      <c r="AF5">
        <v>60</v>
      </c>
      <c r="AG5">
        <v>6</v>
      </c>
      <c r="AH5">
        <v>2</v>
      </c>
    </row>
    <row r="6" spans="1:34">
      <c r="A6" t="s">
        <v>123</v>
      </c>
      <c r="C6">
        <v>7</v>
      </c>
      <c r="D6">
        <v>86</v>
      </c>
      <c r="E6">
        <v>8</v>
      </c>
      <c r="F6">
        <v>1</v>
      </c>
      <c r="G6">
        <v>6</v>
      </c>
      <c r="H6">
        <v>94</v>
      </c>
      <c r="I6">
        <v>8</v>
      </c>
      <c r="J6">
        <v>2</v>
      </c>
      <c r="K6">
        <v>6</v>
      </c>
      <c r="L6">
        <v>94</v>
      </c>
      <c r="M6">
        <v>8</v>
      </c>
      <c r="N6">
        <v>2</v>
      </c>
      <c r="O6">
        <v>6</v>
      </c>
      <c r="P6">
        <v>93</v>
      </c>
      <c r="Q6">
        <v>8</v>
      </c>
      <c r="R6">
        <v>2</v>
      </c>
      <c r="S6">
        <v>6</v>
      </c>
      <c r="T6">
        <v>129</v>
      </c>
      <c r="U6">
        <v>8</v>
      </c>
      <c r="V6">
        <v>2</v>
      </c>
      <c r="W6">
        <v>6</v>
      </c>
      <c r="X6">
        <v>115</v>
      </c>
      <c r="Y6">
        <v>8</v>
      </c>
      <c r="Z6">
        <v>2</v>
      </c>
      <c r="AA6">
        <v>6</v>
      </c>
      <c r="AB6">
        <v>116</v>
      </c>
      <c r="AC6">
        <v>8</v>
      </c>
      <c r="AD6">
        <v>2</v>
      </c>
      <c r="AE6">
        <v>6</v>
      </c>
      <c r="AF6">
        <v>111</v>
      </c>
      <c r="AG6">
        <v>7</v>
      </c>
      <c r="AH6">
        <v>2</v>
      </c>
    </row>
    <row r="7" spans="1:34">
      <c r="A7" t="s">
        <v>124</v>
      </c>
      <c r="C7">
        <v>7</v>
      </c>
      <c r="D7">
        <v>97</v>
      </c>
      <c r="E7">
        <v>9</v>
      </c>
      <c r="F7">
        <v>1</v>
      </c>
      <c r="G7">
        <v>7</v>
      </c>
      <c r="H7">
        <v>97</v>
      </c>
      <c r="I7">
        <v>9</v>
      </c>
      <c r="J7">
        <v>1</v>
      </c>
      <c r="K7">
        <v>7</v>
      </c>
      <c r="L7">
        <v>97</v>
      </c>
      <c r="M7">
        <v>9</v>
      </c>
      <c r="N7">
        <v>1</v>
      </c>
      <c r="O7">
        <v>7</v>
      </c>
      <c r="P7">
        <v>96</v>
      </c>
      <c r="Q7">
        <v>9</v>
      </c>
      <c r="R7">
        <v>1</v>
      </c>
      <c r="S7">
        <v>7</v>
      </c>
      <c r="T7">
        <v>132</v>
      </c>
      <c r="U7">
        <v>9</v>
      </c>
      <c r="V7">
        <v>1</v>
      </c>
      <c r="W7">
        <v>7</v>
      </c>
      <c r="X7">
        <v>132</v>
      </c>
      <c r="Y7">
        <v>9</v>
      </c>
      <c r="Z7">
        <v>1</v>
      </c>
      <c r="AA7">
        <v>7</v>
      </c>
      <c r="AB7">
        <v>132</v>
      </c>
      <c r="AC7">
        <v>9</v>
      </c>
      <c r="AD7">
        <v>1</v>
      </c>
      <c r="AE7">
        <v>7</v>
      </c>
      <c r="AF7">
        <v>132</v>
      </c>
      <c r="AG7">
        <v>9</v>
      </c>
      <c r="AH7">
        <v>1</v>
      </c>
    </row>
    <row r="8" spans="1:34">
      <c r="A8" t="s">
        <v>130</v>
      </c>
      <c r="W8">
        <v>4</v>
      </c>
      <c r="X8">
        <v>76</v>
      </c>
      <c r="Y8">
        <v>5</v>
      </c>
      <c r="Z8">
        <v>4</v>
      </c>
      <c r="AA8">
        <v>4</v>
      </c>
      <c r="AB8">
        <v>89</v>
      </c>
      <c r="AC8">
        <v>5</v>
      </c>
      <c r="AD8">
        <v>3</v>
      </c>
      <c r="AE8">
        <v>4</v>
      </c>
      <c r="AF8">
        <v>94</v>
      </c>
      <c r="AG8">
        <v>5</v>
      </c>
      <c r="AH8">
        <v>3</v>
      </c>
    </row>
    <row r="9" spans="1:34">
      <c r="C9" s="1">
        <f>SUM(C3:C8)</f>
        <v>25</v>
      </c>
      <c r="D9" s="1">
        <f t="shared" ref="D9:Z9" si="0">SUM(D3:D8)</f>
        <v>909</v>
      </c>
      <c r="E9" s="1">
        <f t="shared" si="0"/>
        <v>30</v>
      </c>
      <c r="F9" s="1">
        <f t="shared" si="0"/>
        <v>11</v>
      </c>
      <c r="G9" s="1">
        <f t="shared" si="0"/>
        <v>24</v>
      </c>
      <c r="H9" s="1">
        <f t="shared" si="0"/>
        <v>916</v>
      </c>
      <c r="I9" s="1">
        <f t="shared" si="0"/>
        <v>30</v>
      </c>
      <c r="J9" s="1">
        <f t="shared" si="0"/>
        <v>12</v>
      </c>
      <c r="K9" s="1">
        <f t="shared" si="0"/>
        <v>31</v>
      </c>
      <c r="L9" s="1">
        <f t="shared" si="0"/>
        <v>883</v>
      </c>
      <c r="M9" s="1">
        <f t="shared" si="0"/>
        <v>36</v>
      </c>
      <c r="N9" s="1">
        <f t="shared" si="0"/>
        <v>11</v>
      </c>
      <c r="O9" s="1">
        <f t="shared" si="0"/>
        <v>31</v>
      </c>
      <c r="P9" s="1">
        <f t="shared" si="0"/>
        <v>876</v>
      </c>
      <c r="Q9" s="1">
        <f t="shared" si="0"/>
        <v>36</v>
      </c>
      <c r="R9" s="1">
        <f t="shared" si="0"/>
        <v>11</v>
      </c>
      <c r="S9" s="1">
        <f t="shared" si="0"/>
        <v>31</v>
      </c>
      <c r="T9" s="1">
        <f t="shared" si="0"/>
        <v>948</v>
      </c>
      <c r="U9" s="1">
        <f t="shared" si="0"/>
        <v>36</v>
      </c>
      <c r="V9" s="1">
        <f t="shared" si="0"/>
        <v>11</v>
      </c>
      <c r="W9" s="1">
        <f t="shared" si="0"/>
        <v>35</v>
      </c>
      <c r="X9" s="1">
        <f t="shared" si="0"/>
        <v>980</v>
      </c>
      <c r="Y9" s="1">
        <f t="shared" si="0"/>
        <v>41</v>
      </c>
      <c r="Z9" s="1">
        <f t="shared" si="0"/>
        <v>15</v>
      </c>
      <c r="AA9" s="1">
        <f t="shared" ref="AA9" si="1">SUM(AA3:AA8)</f>
        <v>35</v>
      </c>
      <c r="AB9" s="1">
        <f t="shared" ref="AB9" si="2">SUM(AB3:AB8)</f>
        <v>959</v>
      </c>
      <c r="AC9" s="1">
        <f t="shared" ref="AC9" si="3">SUM(AC3:AC8)</f>
        <v>42</v>
      </c>
      <c r="AD9" s="1">
        <f t="shared" ref="AD9" si="4">SUM(AD3:AD8)</f>
        <v>13</v>
      </c>
      <c r="AE9" s="1">
        <f t="shared" ref="AE9" si="5">SUM(AE3:AE8)</f>
        <v>35</v>
      </c>
      <c r="AF9" s="1">
        <f t="shared" ref="AF9" si="6">SUM(AF3:AF8)</f>
        <v>949</v>
      </c>
      <c r="AG9" s="1">
        <f t="shared" ref="AG9" si="7">SUM(AG3:AG8)</f>
        <v>42</v>
      </c>
      <c r="AH9" s="1">
        <f t="shared" ref="AH9" si="8">SUM(AH3:AH8)</f>
        <v>13</v>
      </c>
    </row>
    <row r="10" spans="1:34">
      <c r="H10" s="6">
        <f>(H9-D9)/D9</f>
        <v>7.7007700770077006E-3</v>
      </c>
      <c r="L10" s="6">
        <f>(L9-D9)/D9</f>
        <v>-2.8602860286028604E-2</v>
      </c>
      <c r="P10" s="6">
        <f>(P9-D9)/D9</f>
        <v>-3.6303630363036306E-2</v>
      </c>
    </row>
  </sheetData>
  <mergeCells count="8">
    <mergeCell ref="W1:Z1"/>
    <mergeCell ref="AA1:AD1"/>
    <mergeCell ref="AE1:AH1"/>
    <mergeCell ref="C1:F1"/>
    <mergeCell ref="G1:J1"/>
    <mergeCell ref="K1:N1"/>
    <mergeCell ref="O1:R1"/>
    <mergeCell ref="S1:V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  <vt:lpstr>void OutputLinearRegression2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2025-06-01T20:14:01Z</dcterms:modified>
</cp:coreProperties>
</file>
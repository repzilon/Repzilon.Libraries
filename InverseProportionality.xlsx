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ener/Projects/Repzilon.Libraries/"/>
    </mc:Choice>
  </mc:AlternateContent>
  <xr:revisionPtr revIDLastSave="0" documentId="8_{F387C239-0AFE-044D-B6C1-A410A6079B27}" xr6:coauthVersionLast="47" xr6:coauthVersionMax="47" xr10:uidLastSave="{00000000-0000-0000-0000-000000000000}"/>
  <bookViews>
    <workbookView xWindow="80" yWindow="500" windowWidth="25440" windowHeight="14400" activeTab="2" xr2:uid="{8D421E06-0184-CA45-84B2-A52449F63B5F}"/>
  </bookViews>
  <sheets>
    <sheet name="Graphique1" sheetId="2" r:id="rId1"/>
    <sheet name="Graphique2" sheetId="3" r:id="rId2"/>
    <sheet name="Feuil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  <c r="C3" i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<sst xmlns="http://schemas.openxmlformats.org/spreadsheetml/2006/main" count="5" uniqueCount="5">
  <si>
    <t>Observée</t>
  </si>
  <si>
    <t>Modèle 1</t>
  </si>
  <si>
    <t>Modèle 2</t>
  </si>
  <si>
    <t>Modèle 3</t>
  </si>
  <si>
    <t>Pression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</si>
</sst>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Observée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Feuil1!$A$2:$A$9</c:f>
              <c:numCache>
                <c:formatCode>General</c:formatCode>
                <c:ptCount val="8"/>
                <c:pt idx="0">
                  <c:v>101325</c:v>
                </c:pt>
                <c:pt idx="1">
                  <c:v>130</c:v>
                </c:pt>
                <c:pt idx="2">
                  <c:v>0.13</c:v>
                </c:pt>
                <c:pt idx="3">
                  <c:v>1.2999999999999999E-2</c:v>
                </c:pt>
                <c:pt idx="4">
                  <c:v>1.2999999999999999E-3</c:v>
                </c:pt>
                <c:pt idx="5">
                  <c:v>1.2999999999999999E-4</c:v>
                </c:pt>
                <c:pt idx="6" formatCode="0.00E+00">
                  <c:v>1.2999999999999999E-5</c:v>
                </c:pt>
                <c:pt idx="7" formatCode="0.00E+00">
                  <c:v>1.3E-7</c:v>
                </c:pt>
              </c:numCache>
            </c:numRef>
          </c:xVal>
          <c:yVal>
            <c:numRef>
              <c:f>Feuil1!$B$2:$B$9</c:f>
              <c:numCache>
                <c:formatCode>General</c:formatCode>
                <c:ptCount val="8"/>
                <c:pt idx="0" formatCode="0.00E+00">
                  <c:v>6.0000000000000002E-6</c:v>
                </c:pt>
                <c:pt idx="1">
                  <c:v>4.4999999999999997E-3</c:v>
                </c:pt>
                <c:pt idx="2">
                  <c:v>4.5</c:v>
                </c:pt>
                <c:pt idx="3">
                  <c:v>45</c:v>
                </c:pt>
                <c:pt idx="4">
                  <c:v>450</c:v>
                </c:pt>
                <c:pt idx="5">
                  <c:v>4500</c:v>
                </c:pt>
                <c:pt idx="6">
                  <c:v>45000</c:v>
                </c:pt>
                <c:pt idx="7">
                  <c:v>4500000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00-6243-8DEC-C12E790CD418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Modèle 1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Feuil1!$A$2:$A$9</c:f>
              <c:numCache>
                <c:formatCode>General</c:formatCode>
                <c:ptCount val="8"/>
                <c:pt idx="0">
                  <c:v>101325</c:v>
                </c:pt>
                <c:pt idx="1">
                  <c:v>130</c:v>
                </c:pt>
                <c:pt idx="2">
                  <c:v>0.13</c:v>
                </c:pt>
                <c:pt idx="3">
                  <c:v>1.2999999999999999E-2</c:v>
                </c:pt>
                <c:pt idx="4">
                  <c:v>1.2999999999999999E-3</c:v>
                </c:pt>
                <c:pt idx="5">
                  <c:v>1.2999999999999999E-4</c:v>
                </c:pt>
                <c:pt idx="6" formatCode="0.00E+00">
                  <c:v>1.2999999999999999E-5</c:v>
                </c:pt>
                <c:pt idx="7" formatCode="0.00E+00">
                  <c:v>1.3E-7</c:v>
                </c:pt>
              </c:numCache>
            </c:numRef>
          </c:xVal>
          <c:yVal>
            <c:numRef>
              <c:f>Feuil1!$C$2:$C$9</c:f>
              <c:numCache>
                <c:formatCode>General</c:formatCode>
                <c:ptCount val="8"/>
                <c:pt idx="0">
                  <c:v>5.901459073736149E-6</c:v>
                </c:pt>
                <c:pt idx="1">
                  <c:v>4.5662877571871685E-3</c:v>
                </c:pt>
                <c:pt idx="2">
                  <c:v>4.5318473869860032</c:v>
                </c:pt>
                <c:pt idx="3">
                  <c:v>45.204250850948704</c:v>
                </c:pt>
                <c:pt idx="4">
                  <c:v>450.90315725625419</c:v>
                </c:pt>
                <c:pt idx="5">
                  <c:v>4497.6667768268426</c:v>
                </c:pt>
                <c:pt idx="6">
                  <c:v>44863.306255084673</c:v>
                </c:pt>
                <c:pt idx="7">
                  <c:v>4463743.9675182151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00-6243-8DEC-C12E790CD418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Modèle 2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Feuil1!$A$2:$A$9</c:f>
              <c:numCache>
                <c:formatCode>General</c:formatCode>
                <c:ptCount val="8"/>
                <c:pt idx="0">
                  <c:v>101325</c:v>
                </c:pt>
                <c:pt idx="1">
                  <c:v>130</c:v>
                </c:pt>
                <c:pt idx="2">
                  <c:v>0.13</c:v>
                </c:pt>
                <c:pt idx="3">
                  <c:v>1.2999999999999999E-2</c:v>
                </c:pt>
                <c:pt idx="4">
                  <c:v>1.2999999999999999E-3</c:v>
                </c:pt>
                <c:pt idx="5">
                  <c:v>1.2999999999999999E-4</c:v>
                </c:pt>
                <c:pt idx="6" formatCode="0.00E+00">
                  <c:v>1.2999999999999999E-5</c:v>
                </c:pt>
                <c:pt idx="7" formatCode="0.00E+00">
                  <c:v>1.3E-7</c:v>
                </c:pt>
              </c:numCache>
            </c:numRef>
          </c:xVal>
          <c:yVal>
            <c:numRef>
              <c:f>Feuil1!$D$2:$D$9</c:f>
              <c:numCache>
                <c:formatCode>General</c:formatCode>
                <c:ptCount val="8"/>
                <c:pt idx="0">
                  <c:v>6.0000394769306688E-6</c:v>
                </c:pt>
                <c:pt idx="1">
                  <c:v>4.6765692307692303E-3</c:v>
                </c:pt>
                <c:pt idx="2">
                  <c:v>4.6765692307692301</c:v>
                </c:pt>
                <c:pt idx="3">
                  <c:v>46.765692307692312</c:v>
                </c:pt>
                <c:pt idx="4">
                  <c:v>467.65692307692308</c:v>
                </c:pt>
                <c:pt idx="5">
                  <c:v>4676.5692307692316</c:v>
                </c:pt>
                <c:pt idx="6">
                  <c:v>46765.692307692312</c:v>
                </c:pt>
                <c:pt idx="7">
                  <c:v>4676569.230769231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00-6243-8DEC-C12E790CD418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Modèle 3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Feuil1!$A$2:$A$9</c:f>
              <c:numCache>
                <c:formatCode>General</c:formatCode>
                <c:ptCount val="8"/>
                <c:pt idx="0">
                  <c:v>101325</c:v>
                </c:pt>
                <c:pt idx="1">
                  <c:v>130</c:v>
                </c:pt>
                <c:pt idx="2">
                  <c:v>0.13</c:v>
                </c:pt>
                <c:pt idx="3">
                  <c:v>1.2999999999999999E-2</c:v>
                </c:pt>
                <c:pt idx="4">
                  <c:v>1.2999999999999999E-3</c:v>
                </c:pt>
                <c:pt idx="5">
                  <c:v>1.2999999999999999E-4</c:v>
                </c:pt>
                <c:pt idx="6" formatCode="0.00E+00">
                  <c:v>1.2999999999999999E-5</c:v>
                </c:pt>
                <c:pt idx="7" formatCode="0.00E+00">
                  <c:v>1.3E-7</c:v>
                </c:pt>
              </c:numCache>
            </c:numRef>
          </c:xVal>
          <c:yVal>
            <c:numRef>
              <c:f>Feuil1!$E$2:$E$9</c:f>
              <c:numCache>
                <c:formatCode>General</c:formatCode>
                <c:ptCount val="8"/>
                <c:pt idx="0">
                  <c:v>5.8060974102886747E-6</c:v>
                </c:pt>
                <c:pt idx="1">
                  <c:v>4.5000325963E-3</c:v>
                </c:pt>
                <c:pt idx="2">
                  <c:v>4.5000000325962999</c:v>
                </c:pt>
                <c:pt idx="3">
                  <c:v>45.000000032596297</c:v>
                </c:pt>
                <c:pt idx="4">
                  <c:v>450.00000003259629</c:v>
                </c:pt>
                <c:pt idx="5">
                  <c:v>4500.0000000325963</c:v>
                </c:pt>
                <c:pt idx="6">
                  <c:v>45000.000000032596</c:v>
                </c:pt>
                <c:pt idx="7">
                  <c:v>4500000.0000000326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00-6243-8DEC-C12E790CD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737312"/>
        <c:axId val="796194208"/>
      </c:scatterChart>
      <c:valAx>
        <c:axId val="7907373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796194208"/>
        <c:crosses val="autoZero"/>
        <c:crossBetween val="midCat"/>
      </c:valAx>
      <c:valAx>
        <c:axId val="7961942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7907373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r"/>
      <c:layout>
        <c:manualLayout>
          <c:xMode val="edge"/>
          <c:yMode val="edge"/>
          <c:x val="0.85035522571202771"/>
          <c:y val="9.1070917383919564E-2"/>
          <c:w val="0.10102462726916785"/>
          <c:h val="0.1288567847986920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Modèle 1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6227280371109696"/>
                  <c:y val="-6.241054218591958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Feuil1!$B$2:$B$9</c:f>
              <c:numCache>
                <c:formatCode>General</c:formatCode>
                <c:ptCount val="8"/>
                <c:pt idx="0" formatCode="0.00E+00">
                  <c:v>6.0000000000000002E-6</c:v>
                </c:pt>
                <c:pt idx="1">
                  <c:v>4.4999999999999997E-3</c:v>
                </c:pt>
                <c:pt idx="2">
                  <c:v>4.5</c:v>
                </c:pt>
                <c:pt idx="3">
                  <c:v>45</c:v>
                </c:pt>
                <c:pt idx="4">
                  <c:v>450</c:v>
                </c:pt>
                <c:pt idx="5">
                  <c:v>4500</c:v>
                </c:pt>
                <c:pt idx="6">
                  <c:v>45000</c:v>
                </c:pt>
                <c:pt idx="7">
                  <c:v>4500000</c:v>
                </c:pt>
              </c:numCache>
            </c:numRef>
          </c:xVal>
          <c:yVal>
            <c:numRef>
              <c:f>Feuil1!$C$2:$C$9</c:f>
              <c:numCache>
                <c:formatCode>General</c:formatCode>
                <c:ptCount val="8"/>
                <c:pt idx="0">
                  <c:v>5.901459073736149E-6</c:v>
                </c:pt>
                <c:pt idx="1">
                  <c:v>4.5662877571871685E-3</c:v>
                </c:pt>
                <c:pt idx="2">
                  <c:v>4.5318473869860032</c:v>
                </c:pt>
                <c:pt idx="3">
                  <c:v>45.204250850948704</c:v>
                </c:pt>
                <c:pt idx="4">
                  <c:v>450.90315725625419</c:v>
                </c:pt>
                <c:pt idx="5">
                  <c:v>4497.6667768268426</c:v>
                </c:pt>
                <c:pt idx="6">
                  <c:v>44863.306255084673</c:v>
                </c:pt>
                <c:pt idx="7">
                  <c:v>4463743.9675182151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D-854A-84D0-31541ADA5C3D}"/>
            </c:ext>
          </c:extLst>
        </c:ser>
        <c:ser>
          <c:idx val="1"/>
          <c:order val="1"/>
          <c:tx>
            <c:strRef>
              <c:f>Feuil1!$D$1</c:f>
              <c:strCache>
                <c:ptCount val="1"/>
                <c:pt idx="0">
                  <c:v>Modèle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7094577671615583"/>
                  <c:y val="6.04109811255940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Feuil1!$B$2:$B$9</c:f>
              <c:numCache>
                <c:formatCode>General</c:formatCode>
                <c:ptCount val="8"/>
                <c:pt idx="0" formatCode="0.00E+00">
                  <c:v>6.0000000000000002E-6</c:v>
                </c:pt>
                <c:pt idx="1">
                  <c:v>4.4999999999999997E-3</c:v>
                </c:pt>
                <c:pt idx="2">
                  <c:v>4.5</c:v>
                </c:pt>
                <c:pt idx="3">
                  <c:v>45</c:v>
                </c:pt>
                <c:pt idx="4">
                  <c:v>450</c:v>
                </c:pt>
                <c:pt idx="5">
                  <c:v>4500</c:v>
                </c:pt>
                <c:pt idx="6">
                  <c:v>45000</c:v>
                </c:pt>
                <c:pt idx="7">
                  <c:v>4500000</c:v>
                </c:pt>
              </c:numCache>
            </c:numRef>
          </c:xVal>
          <c:yVal>
            <c:numRef>
              <c:f>Feuil1!$D$2:$D$9</c:f>
              <c:numCache>
                <c:formatCode>General</c:formatCode>
                <c:ptCount val="8"/>
                <c:pt idx="0">
                  <c:v>6.0000394769306688E-6</c:v>
                </c:pt>
                <c:pt idx="1">
                  <c:v>4.6765692307692303E-3</c:v>
                </c:pt>
                <c:pt idx="2">
                  <c:v>4.6765692307692301</c:v>
                </c:pt>
                <c:pt idx="3">
                  <c:v>46.765692307692312</c:v>
                </c:pt>
                <c:pt idx="4">
                  <c:v>467.65692307692308</c:v>
                </c:pt>
                <c:pt idx="5">
                  <c:v>4676.5692307692316</c:v>
                </c:pt>
                <c:pt idx="6">
                  <c:v>46765.692307692312</c:v>
                </c:pt>
                <c:pt idx="7">
                  <c:v>4676569.230769231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8D-854A-84D0-31541ADA5C3D}"/>
            </c:ext>
          </c:extLst>
        </c:ser>
        <c:ser>
          <c:idx val="2"/>
          <c:order val="2"/>
          <c:tx>
            <c:strRef>
              <c:f>Feuil1!$E$1</c:f>
              <c:strCache>
                <c:ptCount val="1"/>
                <c:pt idx="0">
                  <c:v>Modèle 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83702908921623509"/>
                  <c:y val="0.125043257822986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Feuil1!$B$2:$B$9</c:f>
              <c:numCache>
                <c:formatCode>General</c:formatCode>
                <c:ptCount val="8"/>
                <c:pt idx="0" formatCode="0.00E+00">
                  <c:v>6.0000000000000002E-6</c:v>
                </c:pt>
                <c:pt idx="1">
                  <c:v>4.4999999999999997E-3</c:v>
                </c:pt>
                <c:pt idx="2">
                  <c:v>4.5</c:v>
                </c:pt>
                <c:pt idx="3">
                  <c:v>45</c:v>
                </c:pt>
                <c:pt idx="4">
                  <c:v>450</c:v>
                </c:pt>
                <c:pt idx="5">
                  <c:v>4500</c:v>
                </c:pt>
                <c:pt idx="6">
                  <c:v>45000</c:v>
                </c:pt>
                <c:pt idx="7">
                  <c:v>4500000</c:v>
                </c:pt>
              </c:numCache>
            </c:numRef>
          </c:xVal>
          <c:yVal>
            <c:numRef>
              <c:f>Feuil1!$E$2:$E$9</c:f>
              <c:numCache>
                <c:formatCode>General</c:formatCode>
                <c:ptCount val="8"/>
                <c:pt idx="0">
                  <c:v>5.8060974102886747E-6</c:v>
                </c:pt>
                <c:pt idx="1">
                  <c:v>4.5000325963E-3</c:v>
                </c:pt>
                <c:pt idx="2">
                  <c:v>4.5000000325962999</c:v>
                </c:pt>
                <c:pt idx="3">
                  <c:v>45.000000032596297</c:v>
                </c:pt>
                <c:pt idx="4">
                  <c:v>450.00000003259629</c:v>
                </c:pt>
                <c:pt idx="5">
                  <c:v>4500.0000000325963</c:v>
                </c:pt>
                <c:pt idx="6">
                  <c:v>45000.000000032596</c:v>
                </c:pt>
                <c:pt idx="7">
                  <c:v>4500000.0000000326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8D-854A-84D0-31541ADA5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957152"/>
        <c:axId val="805988160"/>
      </c:scatterChart>
      <c:valAx>
        <c:axId val="7939571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5988160"/>
        <c:crosses val="autoZero"/>
        <c:crossBetween val="midCat"/>
      </c:valAx>
      <c:valAx>
        <c:axId val="8059881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395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D2F949-3305-2444-93EC-5173895228E3}">
  <sheetPr/>
  <sheetViews>
    <sheetView zoomScale="40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DFE907-1B86-2344-87BF-2E3EF2C6BF52}">
  <sheetPr/>
  <sheetViews>
    <sheetView zoomScale="1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033" cy="62878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77D4419-1812-4B0D-FDE3-53EBB0EE7A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033" cy="62878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555F1F2-F592-58D7-8F83-2B2790BF87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D9801-C514-6A4A-A033-DF36C1FDBC3A}">
  <dimension ref="A1:F9"/>
  <sheetViews>
    <sheetView tabSelected="1" zoomScale="130" zoomScaleNormal="130" workbookViewId="0">
      <selection activeCell="D6" sqref="D6"/>
    </sheetView>
  </sheetViews>
  <sheetFormatPr baseColWidth="10" defaultRowHeight="16" x14ac:dyDescent="0.2"/>
  <cols>
    <col min="1" max="1" width="12.33203125" bestFit="1" customWidth="1"/>
    <col min="2" max="2" width="9" bestFit="1" customWidth="1"/>
    <col min="3" max="5" width="12.1640625" bestFit="1" customWidth="1"/>
  </cols>
  <sheetData>
    <row r="1" spans="1:6" s="2" customFormat="1" x14ac:dyDescent="0.2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6" x14ac:dyDescent="0.2">
      <c r="A2">
        <v>101325</v>
      </c>
      <c r="B2" s="1">
        <v>6.0000000000000002E-6</v>
      </c>
      <c r="C2">
        <f>0.590459*A2^-0.998904</f>
        <v>5.901459073736149E-6</v>
      </c>
      <c r="D2">
        <f>0.607954/A2</f>
        <v>6.0000394769306688E-6</v>
      </c>
      <c r="E2">
        <f>0.0000000325963+0.585/A2</f>
        <v>5.8060974102886747E-6</v>
      </c>
    </row>
    <row r="3" spans="1:6" x14ac:dyDescent="0.2">
      <c r="A3">
        <v>130</v>
      </c>
      <c r="B3">
        <v>4.4999999999999997E-3</v>
      </c>
      <c r="C3">
        <f t="shared" ref="C3:C9" si="0">0.590459*A3^-0.998904</f>
        <v>4.5662877571871685E-3</v>
      </c>
      <c r="D3">
        <f t="shared" ref="D3:D9" si="1">0.607954/A3</f>
        <v>4.6765692307692303E-3</v>
      </c>
      <c r="E3">
        <f t="shared" ref="E3:E9" si="2">0.0000000325963+0.585/A3</f>
        <v>4.5000325963E-3</v>
      </c>
    </row>
    <row r="4" spans="1:6" x14ac:dyDescent="0.2">
      <c r="A4">
        <v>0.13</v>
      </c>
      <c r="B4">
        <v>4.5</v>
      </c>
      <c r="C4">
        <f t="shared" si="0"/>
        <v>4.5318473869860032</v>
      </c>
      <c r="D4">
        <f t="shared" si="1"/>
        <v>4.6765692307692301</v>
      </c>
      <c r="E4">
        <f t="shared" si="2"/>
        <v>4.5000000325962999</v>
      </c>
    </row>
    <row r="5" spans="1:6" x14ac:dyDescent="0.2">
      <c r="A5">
        <v>1.2999999999999999E-2</v>
      </c>
      <c r="B5">
        <v>45</v>
      </c>
      <c r="C5">
        <f t="shared" si="0"/>
        <v>45.204250850948704</v>
      </c>
      <c r="D5">
        <f t="shared" si="1"/>
        <v>46.765692307692312</v>
      </c>
      <c r="E5">
        <f t="shared" si="2"/>
        <v>45.000000032596297</v>
      </c>
    </row>
    <row r="6" spans="1:6" x14ac:dyDescent="0.2">
      <c r="A6">
        <v>1.2999999999999999E-3</v>
      </c>
      <c r="B6">
        <v>450</v>
      </c>
      <c r="C6">
        <f t="shared" si="0"/>
        <v>450.90315725625419</v>
      </c>
      <c r="D6">
        <f t="shared" si="1"/>
        <v>467.65692307692308</v>
      </c>
      <c r="E6">
        <f t="shared" si="2"/>
        <v>450.00000003259629</v>
      </c>
    </row>
    <row r="7" spans="1:6" x14ac:dyDescent="0.2">
      <c r="A7">
        <v>1.2999999999999999E-4</v>
      </c>
      <c r="B7">
        <v>4500</v>
      </c>
      <c r="C7">
        <f t="shared" si="0"/>
        <v>4497.6667768268426</v>
      </c>
      <c r="D7">
        <f t="shared" si="1"/>
        <v>4676.5692307692316</v>
      </c>
      <c r="E7">
        <f t="shared" si="2"/>
        <v>4500.0000000325963</v>
      </c>
    </row>
    <row r="8" spans="1:6" x14ac:dyDescent="0.2">
      <c r="A8" s="1">
        <v>1.2999999999999999E-5</v>
      </c>
      <c r="B8">
        <v>45000</v>
      </c>
      <c r="C8">
        <f t="shared" si="0"/>
        <v>44863.306255084673</v>
      </c>
      <c r="D8">
        <f t="shared" si="1"/>
        <v>46765.692307692312</v>
      </c>
      <c r="E8">
        <f t="shared" si="2"/>
        <v>45000.000000032596</v>
      </c>
      <c r="F8">
        <v>0</v>
      </c>
    </row>
    <row r="9" spans="1:6" x14ac:dyDescent="0.2">
      <c r="A9" s="1">
        <v>1.3E-7</v>
      </c>
      <c r="B9">
        <v>4500000</v>
      </c>
      <c r="C9">
        <f t="shared" si="0"/>
        <v>4463743.9675182151</v>
      </c>
      <c r="D9">
        <f t="shared" si="1"/>
        <v>4676569.230769231</v>
      </c>
      <c r="E9">
        <f t="shared" si="2"/>
        <v>4500000.0000000326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</vt:i4>
      </vt:variant>
    </vt:vector>
  </HeadingPairs>
  <TitlesOfParts>
    <vt:vector size="3" baseType="lpstr">
      <vt:lpstr>Feuil1</vt:lpstr>
      <vt:lpstr>Graphique1</vt:lpstr>
      <vt:lpstr>Graphique2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Sylvain-Rhéaume</dc:creator>
  <cp:lastModifiedBy>René Sylvain-Rhéaume</cp:lastModifiedBy>
  <dcterms:created xsi:type="dcterms:W3CDTF">2025-05-04T13:09:26Z</dcterms:created>
  <dcterms:modified xsi:type="dcterms:W3CDTF">2025-05-08T05:21:05Z</dcterms:modified>
</cp:coreProperties>
</file>
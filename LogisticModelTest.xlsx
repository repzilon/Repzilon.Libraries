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ener/Projects/Repzilon.Libraries/"/>
    </mc:Choice>
  </mc:AlternateContent>
  <xr:revisionPtr revIDLastSave="0" documentId="13_ncr:1_{FC41FE60-7D15-A643-8A2A-51A9ACE7DC22}" xr6:coauthVersionLast="47" xr6:coauthVersionMax="47" xr10:uidLastSave="{00000000-0000-0000-0000-000000000000}"/>
  <bookViews>
    <workbookView xWindow="80" yWindow="500" windowWidth="25440" windowHeight="14480" xr2:uid="{ED0CE2DB-1FBA-3342-B923-64BA43D2799B}"/>
  </bookViews>
  <sheets>
    <sheet name="8F3_exer_w3" sheetId="1" r:id="rId1"/>
    <sheet name="8F3_labo5_o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5" i="1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D7" i="1"/>
  <c r="C7" i="1"/>
</calcChain>
</file>

<file path=xl/sharedStrings.xml><?xml version="1.0" encoding="utf-8"?>
<sst xmlns="http://schemas.openxmlformats.org/spreadsheetml/2006/main" count="18" uniqueCount="9">
  <si>
    <t>x</t>
  </si>
  <si>
    <t>y</t>
  </si>
  <si>
    <t>y^</t>
  </si>
  <si>
    <t>y^'</t>
  </si>
  <si>
    <t>B</t>
  </si>
  <si>
    <t>A</t>
  </si>
  <si>
    <t>µ</t>
  </si>
  <si>
    <t>s</t>
  </si>
  <si>
    <t>si, si/s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</si>
</sst>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'8F3_exer_w3'!$B$6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'8F3_exer_w3'!$A$7:$A$14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'8F3_exer_w3'!$B$7:$B$14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3.5</c:v>
                </c:pt>
                <c:pt idx="3">
                  <c:v>6.2</c:v>
                </c:pt>
                <c:pt idx="4">
                  <c:v>8.1999999999999993</c:v>
                </c:pt>
                <c:pt idx="5">
                  <c:v>9.4</c:v>
                </c:pt>
                <c:pt idx="6">
                  <c:v>9.8000000000000007</c:v>
                </c:pt>
                <c:pt idx="7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9C-5B48-8171-8F37CDD6480F}"/>
            </c:ext>
          </c:extLst>
        </c:ser>
        <c:ser>
          <c:idx val="1"/>
          <c:order val="1"/>
          <c:tx>
            <c:strRef>
              <c:f>'8F3_exer_w3'!$C$6</c:f>
              <c:strCache>
                <c:ptCount val="1"/>
                <c:pt idx="0">
                  <c:v>y^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'8F3_exer_w3'!$A$7:$A$14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'8F3_exer_w3'!$C$7:$C$14</c:f>
              <c:numCache>
                <c:formatCode>General</c:formatCode>
                <c:ptCount val="8"/>
                <c:pt idx="0">
                  <c:v>1.5123225937450893</c:v>
                </c:pt>
                <c:pt idx="1">
                  <c:v>1.6724969976216613</c:v>
                </c:pt>
                <c:pt idx="2">
                  <c:v>2.7560682823620697</c:v>
                </c:pt>
                <c:pt idx="3">
                  <c:v>6.5053452039466082</c:v>
                </c:pt>
                <c:pt idx="4">
                  <c:v>8.8838196032012675</c:v>
                </c:pt>
                <c:pt idx="5">
                  <c:v>9.7643757571501517</c:v>
                </c:pt>
                <c:pt idx="6">
                  <c:v>9.8835942888271155</c:v>
                </c:pt>
                <c:pt idx="7">
                  <c:v>9.8980403419246183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9C-5B48-8171-8F37CDD6480F}"/>
            </c:ext>
          </c:extLst>
        </c:ser>
        <c:ser>
          <c:idx val="2"/>
          <c:order val="2"/>
          <c:tx>
            <c:strRef>
              <c:f>'8F3_exer_w3'!$D$6</c:f>
              <c:strCache>
                <c:ptCount val="1"/>
                <c:pt idx="0">
                  <c:v>y^'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'8F3_exer_w3'!$A$7:$A$14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'8F3_exer_w3'!$D$7:$D$14</c:f>
              <c:numCache>
                <c:formatCode>General</c:formatCode>
                <c:ptCount val="8"/>
                <c:pt idx="0">
                  <c:v>1.4999999999999922</c:v>
                </c:pt>
                <c:pt idx="1">
                  <c:v>1.6604472071404059</c:v>
                </c:pt>
                <c:pt idx="2">
                  <c:v>2.7458639913859049</c:v>
                </c:pt>
                <c:pt idx="3">
                  <c:v>6.5015265461084493</c:v>
                </c:pt>
                <c:pt idx="4">
                  <c:v>8.8840518771186012</c:v>
                </c:pt>
                <c:pt idx="5">
                  <c:v>9.7661077625288115</c:v>
                </c:pt>
                <c:pt idx="6">
                  <c:v>9.8855293429062225</c:v>
                </c:pt>
                <c:pt idx="7">
                  <c:v>9.8999999999999897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9C-5B48-8171-8F37CDD64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262079"/>
        <c:axId val="2104263791"/>
      </c:scatterChart>
      <c:valAx>
        <c:axId val="21042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3791"/>
        <c:crosses val="autoZero"/>
        <c:crossBetween val="midCat"/>
      </c:valAx>
      <c:valAx>
        <c:axId val="210426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'8F3_labo5_o2'!$B$6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'8F3_labo5_o2'!$A$7:$A$14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'8F3_labo5_o2'!$B$7:$B$14</c:f>
              <c:numCache>
                <c:formatCode>General</c:formatCode>
                <c:ptCount val="8"/>
                <c:pt idx="0">
                  <c:v>105.1</c:v>
                </c:pt>
                <c:pt idx="1">
                  <c:v>103.7</c:v>
                </c:pt>
                <c:pt idx="2">
                  <c:v>98.4</c:v>
                </c:pt>
                <c:pt idx="3">
                  <c:v>85.5</c:v>
                </c:pt>
                <c:pt idx="4">
                  <c:v>51.6</c:v>
                </c:pt>
                <c:pt idx="5">
                  <c:v>1</c:v>
                </c:pt>
                <c:pt idx="6">
                  <c:v>0.8</c:v>
                </c:pt>
                <c:pt idx="7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9-CE4F-B841-3EA06636DD21}"/>
            </c:ext>
          </c:extLst>
        </c:ser>
        <c:ser>
          <c:idx val="1"/>
          <c:order val="1"/>
          <c:tx>
            <c:strRef>
              <c:f>'8F3_labo5_o2'!$C$6</c:f>
              <c:strCache>
                <c:ptCount val="1"/>
                <c:pt idx="0">
                  <c:v>y^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'8F3_labo5_o2'!$A$7:$A$14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'8F3_labo5_o2'!$C$7:$C$14</c:f>
              <c:numCache>
                <c:formatCode>General</c:formatCode>
                <c:ptCount val="8"/>
                <c:pt idx="0">
                  <c:v>103.73943847719816</c:v>
                </c:pt>
                <c:pt idx="1">
                  <c:v>101.01058733442666</c:v>
                </c:pt>
                <c:pt idx="2">
                  <c:v>93.426218607705962</c:v>
                </c:pt>
                <c:pt idx="3">
                  <c:v>75.859614230350189</c:v>
                </c:pt>
                <c:pt idx="4">
                  <c:v>48.052102529360404</c:v>
                </c:pt>
                <c:pt idx="5">
                  <c:v>22.654543434140322</c:v>
                </c:pt>
                <c:pt idx="6">
                  <c:v>8.7614609499045759</c:v>
                </c:pt>
                <c:pt idx="7">
                  <c:v>3.199141176011191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B9-CE4F-B841-3EA06636DD21}"/>
            </c:ext>
          </c:extLst>
        </c:ser>
        <c:ser>
          <c:idx val="2"/>
          <c:order val="2"/>
          <c:tx>
            <c:strRef>
              <c:f>'8F3_labo5_o2'!$D$6</c:f>
              <c:strCache>
                <c:ptCount val="1"/>
                <c:pt idx="0">
                  <c:v>y^'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'8F3_labo5_o2'!$A$7:$A$14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'8F3_labo5_o2'!$D$7:$D$14</c:f>
              <c:numCache>
                <c:formatCode>General</c:formatCode>
                <c:ptCount val="8"/>
                <c:pt idx="0">
                  <c:v>104.78728956603497</c:v>
                </c:pt>
                <c:pt idx="1">
                  <c:v>101.94282214909731</c:v>
                </c:pt>
                <c:pt idx="2">
                  <c:v>94.037118029492092</c:v>
                </c:pt>
                <c:pt idx="3">
                  <c:v>75.726249769058299</c:v>
                </c:pt>
                <c:pt idx="4">
                  <c:v>46.740586264069663</c:v>
                </c:pt>
                <c:pt idx="5">
                  <c:v>20.266980509696833</c:v>
                </c:pt>
                <c:pt idx="6">
                  <c:v>5.7852743338517207</c:v>
                </c:pt>
                <c:pt idx="7">
                  <c:v>-1.271043396478877E-2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B9-CE4F-B841-3EA06636D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262079"/>
        <c:axId val="2104263791"/>
      </c:scatterChart>
      <c:valAx>
        <c:axId val="21042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3791"/>
        <c:crosses val="autoZero"/>
        <c:crossBetween val="midCat"/>
      </c:valAx>
      <c:valAx>
        <c:axId val="21042637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53051</xdr:colOff>
      <xdr:row>0</xdr:row>
      <xdr:rowOff>27007</xdr:rowOff>
    </xdr:from>
    <xdr:to>
      <xdr:col>11</xdr:col>
      <xdr:colOff>803797</xdr:colOff>
      <xdr:row>17</xdr:row>
      <xdr:rowOff>192911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E8DFB6-B1BF-AB69-9750-C0D797077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53051</xdr:colOff>
      <xdr:row>0</xdr:row>
      <xdr:rowOff>27007</xdr:rowOff>
    </xdr:from>
    <xdr:to>
      <xdr:col>11</xdr:col>
      <xdr:colOff>803797</xdr:colOff>
      <xdr:row>17</xdr:row>
      <xdr:rowOff>192911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73F80-477B-EB45-85AB-B6CD05515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AFF6-E34C-5844-99F8-A9EB31700643}">
  <dimension ref="A1:D14"/>
  <sheetViews>
    <sheetView tabSelected="1" zoomScale="158" zoomScaleNormal="158" workbookViewId="0">
      <selection activeCell="D13" sqref="D13"/>
    </sheetView>
  </sheetViews>
  <sheetFormatPr baseColWidth="10" defaultRowHeight="16" x14ac:dyDescent="0.2"/>
  <cols>
    <col min="1" max="1" width="3.1640625" bestFit="1" customWidth="1"/>
    <col min="2" max="2" width="4.1640625" bestFit="1" customWidth="1"/>
    <col min="3" max="4" width="12.6640625" bestFit="1" customWidth="1"/>
  </cols>
  <sheetData>
    <row r="1" spans="1:4" x14ac:dyDescent="0.2">
      <c r="B1" s="4" t="s">
        <v>4</v>
      </c>
      <c r="C1">
        <v>1.5</v>
      </c>
      <c r="D1">
        <v>1.48765641885797</v>
      </c>
    </row>
    <row r="2" spans="1:4" x14ac:dyDescent="0.2">
      <c r="B2" s="4" t="s">
        <v>5</v>
      </c>
      <c r="C2">
        <v>8.4</v>
      </c>
      <c r="D2">
        <v>8.4143065768363101</v>
      </c>
    </row>
    <row r="3" spans="1:4" x14ac:dyDescent="0.2">
      <c r="B3" s="4" t="s">
        <v>6</v>
      </c>
      <c r="C3" s="2">
        <v>12.269617706237399</v>
      </c>
      <c r="D3" s="2"/>
    </row>
    <row r="4" spans="1:4" x14ac:dyDescent="0.2">
      <c r="B4" s="4" t="s">
        <v>7</v>
      </c>
      <c r="C4" s="2">
        <v>1.8809533698123699</v>
      </c>
      <c r="D4" s="2"/>
    </row>
    <row r="5" spans="1:4" x14ac:dyDescent="0.2">
      <c r="A5" s="5" t="s">
        <v>8</v>
      </c>
      <c r="B5" s="5"/>
      <c r="C5" s="1">
        <v>2.7</v>
      </c>
      <c r="D5" s="1">
        <f>C5/C4</f>
        <v>1.4354422833296141</v>
      </c>
    </row>
    <row r="6" spans="1:4" x14ac:dyDescent="0.2">
      <c r="A6" s="3" t="s">
        <v>0</v>
      </c>
      <c r="B6" s="3" t="s">
        <v>1</v>
      </c>
      <c r="C6" s="3" t="s">
        <v>2</v>
      </c>
      <c r="D6" s="3" t="s">
        <v>3</v>
      </c>
    </row>
    <row r="7" spans="1:4" x14ac:dyDescent="0.2">
      <c r="A7">
        <v>0</v>
      </c>
      <c r="B7">
        <v>1.5</v>
      </c>
      <c r="C7">
        <f>C$1+C$2*(1/(1+EXP(($A7-$C$3)/(-$C$4))))</f>
        <v>1.5123225937450893</v>
      </c>
      <c r="D7">
        <f>D$1+D$2*(1/(1+EXP(($A7-$C$3)/(-$C$4))))</f>
        <v>1.4999999999999922</v>
      </c>
    </row>
    <row r="8" spans="1:4" x14ac:dyDescent="0.2">
      <c r="A8">
        <v>5</v>
      </c>
      <c r="B8">
        <v>2</v>
      </c>
      <c r="C8">
        <f t="shared" ref="C8:D14" si="0">C$1+C$2*(1/(1+EXP(($A8-$C$3)/(-$C$4))))</f>
        <v>1.6724969976216613</v>
      </c>
      <c r="D8">
        <f t="shared" si="0"/>
        <v>1.6604472071404059</v>
      </c>
    </row>
    <row r="9" spans="1:4" x14ac:dyDescent="0.2">
      <c r="A9">
        <v>9</v>
      </c>
      <c r="B9">
        <v>3.5</v>
      </c>
      <c r="C9">
        <f t="shared" si="0"/>
        <v>2.7560682823620697</v>
      </c>
      <c r="D9">
        <f t="shared" si="0"/>
        <v>2.7458639913859049</v>
      </c>
    </row>
    <row r="10" spans="1:4" x14ac:dyDescent="0.2">
      <c r="A10">
        <v>13</v>
      </c>
      <c r="B10">
        <v>6.2</v>
      </c>
      <c r="C10">
        <f t="shared" si="0"/>
        <v>6.5053452039466082</v>
      </c>
      <c r="D10">
        <f t="shared" si="0"/>
        <v>6.5015265461084493</v>
      </c>
    </row>
    <row r="11" spans="1:4" x14ac:dyDescent="0.2">
      <c r="A11">
        <v>16</v>
      </c>
      <c r="B11">
        <v>8.1999999999999993</v>
      </c>
      <c r="C11">
        <f t="shared" si="0"/>
        <v>8.8838196032012675</v>
      </c>
      <c r="D11">
        <f t="shared" si="0"/>
        <v>8.8840518771186012</v>
      </c>
    </row>
    <row r="12" spans="1:4" x14ac:dyDescent="0.2">
      <c r="A12">
        <v>20</v>
      </c>
      <c r="B12">
        <v>9.4</v>
      </c>
      <c r="C12">
        <f t="shared" si="0"/>
        <v>9.7643757571501517</v>
      </c>
      <c r="D12">
        <f t="shared" si="0"/>
        <v>9.7661077625288115</v>
      </c>
    </row>
    <row r="13" spans="1:4" x14ac:dyDescent="0.2">
      <c r="A13">
        <v>24</v>
      </c>
      <c r="B13">
        <v>9.8000000000000007</v>
      </c>
      <c r="C13">
        <f t="shared" si="0"/>
        <v>9.8835942888271155</v>
      </c>
      <c r="D13">
        <f t="shared" si="0"/>
        <v>9.8855293429062225</v>
      </c>
    </row>
    <row r="14" spans="1:4" x14ac:dyDescent="0.2">
      <c r="A14">
        <v>28</v>
      </c>
      <c r="B14">
        <v>9.9</v>
      </c>
      <c r="C14">
        <f t="shared" si="0"/>
        <v>9.8980403419246183</v>
      </c>
      <c r="D14">
        <f t="shared" si="0"/>
        <v>9.8999999999999897</v>
      </c>
    </row>
  </sheetData>
  <mergeCells count="3">
    <mergeCell ref="C3:D3"/>
    <mergeCell ref="C4:D4"/>
    <mergeCell ref="A5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E2FB-E120-1345-8E07-FDA698C3A799}">
  <dimension ref="A1:D14"/>
  <sheetViews>
    <sheetView topLeftCell="B1" zoomScale="158" zoomScaleNormal="158" workbookViewId="0">
      <selection activeCell="C2" sqref="C2"/>
    </sheetView>
  </sheetViews>
  <sheetFormatPr baseColWidth="10" defaultRowHeight="16" x14ac:dyDescent="0.2"/>
  <cols>
    <col min="1" max="1" width="4.1640625" bestFit="1" customWidth="1"/>
    <col min="2" max="2" width="6.33203125" bestFit="1" customWidth="1"/>
    <col min="3" max="3" width="12.6640625" bestFit="1" customWidth="1"/>
    <col min="4" max="4" width="13.1640625" bestFit="1" customWidth="1"/>
  </cols>
  <sheetData>
    <row r="1" spans="1:4" x14ac:dyDescent="0.2">
      <c r="B1" s="4" t="s">
        <v>4</v>
      </c>
      <c r="C1">
        <v>0.3</v>
      </c>
      <c r="D1">
        <v>-3.0346827515499801</v>
      </c>
    </row>
    <row r="2" spans="1:4" x14ac:dyDescent="0.2">
      <c r="B2" s="4" t="s">
        <v>5</v>
      </c>
      <c r="C2">
        <v>104.8</v>
      </c>
      <c r="D2">
        <v>109.240178265022</v>
      </c>
    </row>
    <row r="3" spans="1:4" x14ac:dyDescent="0.2">
      <c r="B3" s="4" t="s">
        <v>6</v>
      </c>
      <c r="C3" s="2">
        <v>1.9211045364891499</v>
      </c>
      <c r="D3" s="2"/>
    </row>
    <row r="4" spans="1:4" x14ac:dyDescent="0.2">
      <c r="B4" s="4" t="s">
        <v>7</v>
      </c>
      <c r="C4" s="2">
        <v>-0.443561566638489</v>
      </c>
      <c r="D4" s="2"/>
    </row>
    <row r="5" spans="1:4" x14ac:dyDescent="0.2">
      <c r="A5" s="5" t="s">
        <v>8</v>
      </c>
      <c r="B5" s="5"/>
      <c r="C5" s="1">
        <v>-0.33</v>
      </c>
      <c r="D5" s="1">
        <f>C5/C4</f>
        <v>0.74397789353322441</v>
      </c>
    </row>
    <row r="6" spans="1:4" x14ac:dyDescent="0.2">
      <c r="A6" s="3" t="s">
        <v>0</v>
      </c>
      <c r="B6" s="3" t="s">
        <v>1</v>
      </c>
      <c r="C6" s="3" t="s">
        <v>2</v>
      </c>
      <c r="D6" s="3" t="s">
        <v>3</v>
      </c>
    </row>
    <row r="7" spans="1:4" x14ac:dyDescent="0.2">
      <c r="A7">
        <v>0</v>
      </c>
      <c r="B7">
        <v>105.1</v>
      </c>
      <c r="C7">
        <f>C$1+C$2*(1/(1+EXP(($A7-$C$3)/(-$C$4))))</f>
        <v>103.73943847719816</v>
      </c>
      <c r="D7">
        <f>D$1+D$2*(1/(1+EXP(($A7-$C$3)/(-$C$4))))</f>
        <v>104.78728956603497</v>
      </c>
    </row>
    <row r="8" spans="1:4" x14ac:dyDescent="0.2">
      <c r="A8">
        <v>0.5</v>
      </c>
      <c r="B8">
        <v>103.7</v>
      </c>
      <c r="C8">
        <f t="shared" ref="C8:D14" si="0">C$1+C$2*(1/(1+EXP(($A8-$C$3)/(-$C$4))))</f>
        <v>101.01058733442666</v>
      </c>
      <c r="D8">
        <f t="shared" si="0"/>
        <v>101.94282214909731</v>
      </c>
    </row>
    <row r="9" spans="1:4" x14ac:dyDescent="0.2">
      <c r="A9">
        <v>1</v>
      </c>
      <c r="B9">
        <v>98.4</v>
      </c>
      <c r="C9">
        <f t="shared" si="0"/>
        <v>93.426218607705962</v>
      </c>
      <c r="D9">
        <f t="shared" si="0"/>
        <v>94.037118029492092</v>
      </c>
    </row>
    <row r="10" spans="1:4" x14ac:dyDescent="0.2">
      <c r="A10">
        <v>1.5</v>
      </c>
      <c r="B10">
        <v>85.5</v>
      </c>
      <c r="C10">
        <f t="shared" si="0"/>
        <v>75.859614230350189</v>
      </c>
      <c r="D10">
        <f t="shared" si="0"/>
        <v>75.726249769058299</v>
      </c>
    </row>
    <row r="11" spans="1:4" x14ac:dyDescent="0.2">
      <c r="A11">
        <v>2</v>
      </c>
      <c r="B11">
        <v>51.6</v>
      </c>
      <c r="C11">
        <f t="shared" si="0"/>
        <v>48.052102529360404</v>
      </c>
      <c r="D11">
        <f t="shared" si="0"/>
        <v>46.740586264069663</v>
      </c>
    </row>
    <row r="12" spans="1:4" x14ac:dyDescent="0.2">
      <c r="A12">
        <v>2.5</v>
      </c>
      <c r="B12">
        <v>1</v>
      </c>
      <c r="C12">
        <f t="shared" si="0"/>
        <v>22.654543434140322</v>
      </c>
      <c r="D12">
        <f t="shared" si="0"/>
        <v>20.266980509696833</v>
      </c>
    </row>
    <row r="13" spans="1:4" x14ac:dyDescent="0.2">
      <c r="A13">
        <v>3</v>
      </c>
      <c r="B13">
        <v>0.8</v>
      </c>
      <c r="C13">
        <f t="shared" si="0"/>
        <v>8.7614609499045759</v>
      </c>
      <c r="D13">
        <f t="shared" si="0"/>
        <v>5.7852743338517207</v>
      </c>
    </row>
    <row r="14" spans="1:4" x14ac:dyDescent="0.2">
      <c r="A14">
        <v>3.5</v>
      </c>
      <c r="B14">
        <v>0.3</v>
      </c>
      <c r="C14">
        <f t="shared" si="0"/>
        <v>3.199141176011191</v>
      </c>
      <c r="D14">
        <f>D$1+D$2*(1/(1+EXP(($A14-$C$3)/(-$C$4))))</f>
        <v>-1.271043396478877E-2</v>
      </c>
    </row>
  </sheetData>
  <mergeCells count="3">
    <mergeCell ref="C3:D3"/>
    <mergeCell ref="C4:D4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8F3_exer_w3</vt:lpstr>
      <vt:lpstr>8F3_labo5_o2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2025-05-17T19:36:17Z</dcterms:created>
  <dcterms:modified xsi:type="dcterms:W3CDTF">2025-05-17T20:00:27Z</dcterms:modified>
</cp:coreProperties>
</file>
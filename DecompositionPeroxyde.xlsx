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ener/Projects/Repzilon.Libraries/"/>
    </mc:Choice>
  </mc:AlternateContent>
  <xr:revisionPtr revIDLastSave="0" documentId="13_ncr:1_{8A8A84D5-DBE2-F944-8C7E-7C3AAE303997}" xr6:coauthVersionLast="47" xr6:coauthVersionMax="47" xr10:uidLastSave="{00000000-0000-0000-0000-000000000000}"/>
  <bookViews>
    <workbookView xWindow="25600" yWindow="-7500" windowWidth="38400" windowHeight="23500" xr2:uid="{B01D318F-86D7-4149-9556-C9473594BE32}"/>
  </bookViews>
  <sheets>
    <sheet name="Michaelis-Menten lin." sheetId="2" r:id="rId1"/>
    <sheet name="Michaelis-Menten log." sheetId="4" r:id="rId2"/>
    <sheet name="Linéaire direct" sheetId="5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5" i="1"/>
  <c r="I25" i="1" s="1"/>
  <c r="K25" i="1" s="1"/>
  <c r="D22" i="1"/>
  <c r="I22" i="1" s="1"/>
  <c r="K22" i="1" s="1"/>
  <c r="D19" i="1"/>
  <c r="F19" i="1" s="1"/>
  <c r="H19" i="1" s="1"/>
  <c r="D16" i="1"/>
  <c r="D13" i="1"/>
  <c r="I13" i="1"/>
  <c r="K13" i="1" s="1"/>
  <c r="K29" i="1"/>
  <c r="L29" i="1"/>
  <c r="K30" i="1"/>
  <c r="L30" i="1"/>
  <c r="J28" i="1"/>
  <c r="J29" i="1"/>
  <c r="J30" i="1"/>
  <c r="I29" i="1"/>
  <c r="I30" i="1"/>
  <c r="I28" i="1"/>
  <c r="K28" i="1" s="1"/>
  <c r="K26" i="1"/>
  <c r="L26" i="1" s="1"/>
  <c r="K27" i="1"/>
  <c r="L27" i="1"/>
  <c r="J25" i="1"/>
  <c r="J26" i="1"/>
  <c r="J27" i="1"/>
  <c r="I26" i="1"/>
  <c r="I27" i="1"/>
  <c r="K23" i="1"/>
  <c r="L23" i="1"/>
  <c r="K24" i="1"/>
  <c r="L24" i="1"/>
  <c r="J22" i="1"/>
  <c r="J23" i="1"/>
  <c r="J24" i="1"/>
  <c r="I23" i="1"/>
  <c r="I24" i="1"/>
  <c r="K20" i="1"/>
  <c r="L20" i="1"/>
  <c r="K21" i="1"/>
  <c r="L21" i="1"/>
  <c r="J19" i="1"/>
  <c r="J20" i="1"/>
  <c r="J21" i="1"/>
  <c r="I20" i="1"/>
  <c r="I21" i="1"/>
  <c r="K17" i="1"/>
  <c r="L17" i="1" s="1"/>
  <c r="K18" i="1"/>
  <c r="L18" i="1"/>
  <c r="J16" i="1"/>
  <c r="J17" i="1"/>
  <c r="J18" i="1"/>
  <c r="I17" i="1"/>
  <c r="I18" i="1"/>
  <c r="I16" i="1"/>
  <c r="K16" i="1" s="1"/>
  <c r="J13" i="1"/>
  <c r="J14" i="1"/>
  <c r="K14" i="1" s="1"/>
  <c r="L14" i="1" s="1"/>
  <c r="J15" i="1"/>
  <c r="I14" i="1"/>
  <c r="I15" i="1"/>
  <c r="K15" i="1"/>
  <c r="L15" i="1" s="1"/>
  <c r="D30" i="1"/>
  <c r="D29" i="1"/>
  <c r="F29" i="1" s="1"/>
  <c r="H29" i="1" s="1"/>
  <c r="D27" i="1"/>
  <c r="D26" i="1"/>
  <c r="D24" i="1"/>
  <c r="D23" i="1"/>
  <c r="D21" i="1"/>
  <c r="D20" i="1"/>
  <c r="F16" i="1"/>
  <c r="H16" i="1" s="1"/>
  <c r="G16" i="1"/>
  <c r="F17" i="1"/>
  <c r="H17" i="1" s="1"/>
  <c r="G17" i="1"/>
  <c r="F18" i="1"/>
  <c r="G18" i="1"/>
  <c r="H18" i="1" s="1"/>
  <c r="G19" i="1"/>
  <c r="F20" i="1"/>
  <c r="G20" i="1"/>
  <c r="F21" i="1"/>
  <c r="H21" i="1" s="1"/>
  <c r="G21" i="1"/>
  <c r="G22" i="1"/>
  <c r="F23" i="1"/>
  <c r="G23" i="1"/>
  <c r="F24" i="1"/>
  <c r="H24" i="1" s="1"/>
  <c r="G24" i="1"/>
  <c r="G25" i="1"/>
  <c r="F26" i="1"/>
  <c r="G26" i="1"/>
  <c r="F27" i="1"/>
  <c r="G27" i="1"/>
  <c r="H27" i="1" s="1"/>
  <c r="F28" i="1"/>
  <c r="H28" i="1" s="1"/>
  <c r="G28" i="1"/>
  <c r="G29" i="1"/>
  <c r="F30" i="1"/>
  <c r="G30" i="1"/>
  <c r="D18" i="1"/>
  <c r="D17" i="1"/>
  <c r="D15" i="1"/>
  <c r="G13" i="1"/>
  <c r="F14" i="1"/>
  <c r="G14" i="1"/>
  <c r="F15" i="1"/>
  <c r="G15" i="1"/>
  <c r="D14" i="1"/>
  <c r="F11" i="1"/>
  <c r="H11" i="1" s="1"/>
  <c r="L12" i="1"/>
  <c r="K12" i="1"/>
  <c r="I12" i="1"/>
  <c r="J12" i="1"/>
  <c r="J11" i="1"/>
  <c r="I11" i="1"/>
  <c r="K11" i="1" s="1"/>
  <c r="H12" i="1"/>
  <c r="F12" i="1"/>
  <c r="G12" i="1"/>
  <c r="G11" i="1"/>
  <c r="D12" i="1"/>
  <c r="W5" i="1"/>
  <c r="U5" i="1"/>
  <c r="S5" i="1"/>
  <c r="Q5" i="1"/>
  <c r="O5" i="1"/>
  <c r="V2" i="1"/>
  <c r="V4" i="1" s="1"/>
  <c r="T2" i="1"/>
  <c r="T4" i="1" s="1"/>
  <c r="R2" i="1"/>
  <c r="R4" i="1" s="1"/>
  <c r="P2" i="1"/>
  <c r="P4" i="1" s="1"/>
  <c r="N2" i="1"/>
  <c r="N4" i="1" s="1"/>
  <c r="B3" i="1"/>
  <c r="B4" i="1"/>
  <c r="B5" i="1"/>
  <c r="B6" i="1"/>
  <c r="B2" i="1"/>
  <c r="D3" i="1"/>
  <c r="D4" i="1"/>
  <c r="D5" i="1"/>
  <c r="D6" i="1"/>
  <c r="D2" i="1"/>
  <c r="F25" i="1" l="1"/>
  <c r="L28" i="1"/>
  <c r="M28" i="1" s="1"/>
  <c r="L16" i="1"/>
  <c r="M16" i="1" s="1"/>
  <c r="F22" i="1"/>
  <c r="H22" i="1" s="1"/>
  <c r="L22" i="1" s="1"/>
  <c r="M22" i="1" s="1"/>
  <c r="I19" i="1"/>
  <c r="K19" i="1" s="1"/>
  <c r="L19" i="1" s="1"/>
  <c r="M19" i="1" s="1"/>
  <c r="L11" i="1"/>
  <c r="M11" i="1" s="1"/>
  <c r="F13" i="1"/>
  <c r="H13" i="1" s="1"/>
  <c r="L13" i="1" s="1"/>
  <c r="M13" i="1" s="1"/>
  <c r="H30" i="1"/>
  <c r="H26" i="1"/>
  <c r="H25" i="1"/>
  <c r="L25" i="1" s="1"/>
  <c r="M25" i="1" s="1"/>
  <c r="H23" i="1"/>
  <c r="H20" i="1"/>
  <c r="H15" i="1"/>
  <c r="H14" i="1"/>
  <c r="E6" i="1"/>
  <c r="E4" i="1"/>
  <c r="E3" i="1"/>
  <c r="E2" i="1"/>
  <c r="E5" i="1"/>
</calcChain>
</file>

<file path=xl/sharedStrings.xml><?xml version="1.0" encoding="utf-8"?>
<sst xmlns="http://schemas.openxmlformats.org/spreadsheetml/2006/main" count="47" uniqueCount="32">
  <si>
    <t>s</t>
  </si>
  <si>
    <t>a</t>
  </si>
  <si>
    <t>b</t>
  </si>
  <si>
    <t>Modèle</t>
  </si>
  <si>
    <r>
      <t>v</t>
    </r>
    <r>
      <rPr>
        <vertAlign val="subscript"/>
        <sz val="12"/>
        <color theme="1"/>
        <rFont val="Calibri (Corps)"/>
      </rPr>
      <t>max</t>
    </r>
  </si>
  <si>
    <r>
      <t>k</t>
    </r>
    <r>
      <rPr>
        <vertAlign val="subscript"/>
        <sz val="12"/>
        <color theme="1"/>
        <rFont val="Calibri (Corps)"/>
      </rPr>
      <t>m</t>
    </r>
  </si>
  <si>
    <t>Paramètre</t>
  </si>
  <si>
    <t>Valeur</t>
  </si>
  <si>
    <t>Observée</t>
  </si>
  <si>
    <t>Modélisée</t>
  </si>
  <si>
    <t>Régressée</t>
  </si>
  <si>
    <t>Logarithmique</t>
  </si>
  <si>
    <r>
      <t>log</t>
    </r>
    <r>
      <rPr>
        <vertAlign val="subscript"/>
        <sz val="12"/>
        <color theme="1"/>
        <rFont val="Calibri (Corps)"/>
      </rPr>
      <t>10</t>
    </r>
    <r>
      <rPr>
        <sz val="12"/>
        <color theme="1"/>
        <rFont val="Calibri"/>
        <family val="2"/>
        <scheme val="minor"/>
      </rPr>
      <t>(s)</t>
    </r>
  </si>
  <si>
    <t>x</t>
  </si>
  <si>
    <t>y</t>
  </si>
  <si>
    <t>Graphique linéaire direct</t>
  </si>
  <si>
    <t>(0; v)</t>
  </si>
  <si>
    <t>(-s; 0)</t>
  </si>
  <si>
    <t>Axes</t>
  </si>
  <si>
    <t>Puissance</t>
  </si>
  <si>
    <t>Bas</t>
  </si>
  <si>
    <t>Haut</t>
  </si>
  <si>
    <t>Aire entre les courbes</t>
  </si>
  <si>
    <t>MM</t>
  </si>
  <si>
    <t>LB</t>
  </si>
  <si>
    <t>LB(a)</t>
  </si>
  <si>
    <t>EH</t>
  </si>
  <si>
    <t>EH(a)</t>
  </si>
  <si>
    <t>HW</t>
  </si>
  <si>
    <t>DL</t>
  </si>
  <si>
    <t>Aire entre</t>
  </si>
  <si>
    <t>Hanes-Woolf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</si>
</sst>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3" x14ac:knownFonts="1">
    <font>
      <sz val="12"/>
      <color theme="1"/>
      <name val="Calibri"/>
      <family val="2"/>
      <scheme val="minor"/>
    </font>
    <font>
      <vertAlign val="subscript"/>
      <sz val="12"/>
      <color theme="1"/>
      <name val="Calibri (Corps)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E3C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Vitesse de décomposition du peroxyde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Observée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Hoja1!$A$2:$A$6</c:f>
              <c:numCache>
                <c:formatCode>General</c:formatCode>
                <c:ptCount val="5"/>
                <c:pt idx="0">
                  <c:v>12.5</c:v>
                </c:pt>
                <c:pt idx="1">
                  <c:v>20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xVal>
          <c:yVal>
            <c:numRef>
              <c:f>Hoja1!$C$2:$C$6</c:f>
              <c:numCache>
                <c:formatCode>0.000</c:formatCode>
                <c:ptCount val="5"/>
                <c:pt idx="0" formatCode="General">
                  <c:v>3.6999999999999998E-2</c:v>
                </c:pt>
                <c:pt idx="1">
                  <c:v>0.05</c:v>
                </c:pt>
                <c:pt idx="2" formatCode="General">
                  <c:v>5.5E-2</c:v>
                </c:pt>
                <c:pt idx="3" formatCode="General">
                  <c:v>7.2999999999999995E-2</c:v>
                </c:pt>
                <c:pt idx="4" formatCode="General">
                  <c:v>9.0999999999999998E-2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E7-9D4E-BA24-20E373791F2E}"/>
            </c:ext>
          </c:extLst>
        </c:ser>
        <c:ser>
          <c:idx val="1"/>
          <c:order val="1"/>
          <c:tx>
            <c:strRef>
              <c:f>Hoja1!$D$1</c:f>
              <c:strCache>
                <c:ptCount val="1"/>
                <c:pt idx="0">
                  <c:v>Régressée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Hoja1!$A$2:$A$6</c:f>
              <c:numCache>
                <c:formatCode>General</c:formatCode>
                <c:ptCount val="5"/>
                <c:pt idx="0">
                  <c:v>12.5</c:v>
                </c:pt>
                <c:pt idx="1">
                  <c:v>20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xVal>
          <c:yVal>
            <c:numRef>
              <c:f>Hoja1!$D$2:$D$6</c:f>
              <c:numCache>
                <c:formatCode>General</c:formatCode>
                <c:ptCount val="5"/>
                <c:pt idx="0">
                  <c:v>3.7284943247737408E-2</c:v>
                </c:pt>
                <c:pt idx="1">
                  <c:v>4.9426285584087536E-2</c:v>
                </c:pt>
                <c:pt idx="2">
                  <c:v>5.5190628831824941E-2</c:v>
                </c:pt>
                <c:pt idx="3">
                  <c:v>7.3096314415912467E-2</c:v>
                </c:pt>
                <c:pt idx="4">
                  <c:v>9.1002E-2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55-8142-B8CA-CF52223F4A35}"/>
            </c:ext>
          </c:extLst>
        </c:ser>
        <c:ser>
          <c:idx val="2"/>
          <c:order val="2"/>
          <c:tx>
            <c:strRef>
              <c:f>Hoja1!$E$1</c:f>
              <c:strCache>
                <c:ptCount val="1"/>
                <c:pt idx="0">
                  <c:v>Modélisée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Hoja1!$A$2:$A$6</c:f>
              <c:numCache>
                <c:formatCode>General</c:formatCode>
                <c:ptCount val="5"/>
                <c:pt idx="0">
                  <c:v>12.5</c:v>
                </c:pt>
                <c:pt idx="1">
                  <c:v>20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xVal>
          <c:yVal>
            <c:numRef>
              <c:f>Hoja1!$E$2:$E$6</c:f>
              <c:numCache>
                <c:formatCode>General</c:formatCode>
                <c:ptCount val="5"/>
                <c:pt idx="0">
                  <c:v>3.7038267339888395E-2</c:v>
                </c:pt>
                <c:pt idx="1">
                  <c:v>4.9412807445158434E-2</c:v>
                </c:pt>
                <c:pt idx="2">
                  <c:v>5.5605425892679042E-2</c:v>
                </c:pt>
                <c:pt idx="3">
                  <c:v>7.4204711832823109E-2</c:v>
                </c:pt>
                <c:pt idx="4">
                  <c:v>8.9107328378486381E-2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55-8142-B8CA-CF52223F4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985935"/>
        <c:axId val="1022814975"/>
      </c:scatterChart>
      <c:valAx>
        <c:axId val="102298593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200" b="1"/>
                  <a:t>Concentration de peroxyde (mmol/L)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2814975"/>
        <c:crosses val="autoZero"/>
        <c:crossBetween val="midCat"/>
        <c:minorUnit val="2"/>
      </c:valAx>
      <c:valAx>
        <c:axId val="1022814975"/>
        <c:scaling>
          <c:orientation val="minMax"/>
          <c:min val="0.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200" b="1"/>
                  <a:t>Vitesse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298593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83066061935730817"/>
          <c:y val="0.74409589129840636"/>
          <c:w val="0.13892847796186922"/>
          <c:h val="0.1364525637860534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CA" b="1"/>
              <a:t>Vitesse de décomposition du peroxyde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Observée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0.6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Hoja1!$B$2:$B$6</c:f>
              <c:numCache>
                <c:formatCode>General</c:formatCode>
                <c:ptCount val="5"/>
                <c:pt idx="0">
                  <c:v>1.0969100130080565</c:v>
                </c:pt>
                <c:pt idx="1">
                  <c:v>1.3010299956639813</c:v>
                </c:pt>
                <c:pt idx="2">
                  <c:v>1.3979400086720377</c:v>
                </c:pt>
                <c:pt idx="3">
                  <c:v>1.6989700043360187</c:v>
                </c:pt>
                <c:pt idx="4">
                  <c:v>2</c:v>
                </c:pt>
              </c:numCache>
            </c:numRef>
          </c:xVal>
          <c:yVal>
            <c:numRef>
              <c:f>Hoja1!$C$2:$C$6</c:f>
              <c:numCache>
                <c:formatCode>0.000</c:formatCode>
                <c:ptCount val="5"/>
                <c:pt idx="0" formatCode="General">
                  <c:v>3.6999999999999998E-2</c:v>
                </c:pt>
                <c:pt idx="1">
                  <c:v>0.05</c:v>
                </c:pt>
                <c:pt idx="2" formatCode="General">
                  <c:v>5.5E-2</c:v>
                </c:pt>
                <c:pt idx="3" formatCode="General">
                  <c:v>7.2999999999999995E-2</c:v>
                </c:pt>
                <c:pt idx="4" formatCode="General">
                  <c:v>9.0999999999999998E-2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9C-A94C-BBD3-1B40A2C95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783248"/>
        <c:axId val="683375952"/>
      </c:scatterChart>
      <c:valAx>
        <c:axId val="68278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b="1"/>
                  <a:t>Logarithme en base 10 de la concentration de peroxyde (mmol/L)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3375952"/>
        <c:crosses val="autoZero"/>
        <c:crossBetween val="midCat"/>
      </c:valAx>
      <c:valAx>
        <c:axId val="6833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b="1"/>
                  <a:t>Vitesse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2783248"/>
        <c:crosses val="autoZero"/>
        <c:crossBetween val="midCat"/>
        <c:majorUnit val="0.02"/>
        <c:minorUnit val="5.0000000000000001E-3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CA" b="1"/>
              <a:t>Vitesse de décomposition du peroxyde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Hoja1!$N$2</c:f>
              <c:strCache>
                <c:ptCount val="1"/>
                <c:pt idx="0">
                  <c:v>12,5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5"/>
            <c:dispRSqr val="0"/>
            <c:dispEq val="0"/>
          </c:trendline>
          <c:xVal>
            <c:numRef>
              <c:f>Hoja1!$N$4:$N$5</c:f>
              <c:numCache>
                <c:formatCode>General</c:formatCode>
                <c:ptCount val="2"/>
                <c:pt idx="0">
                  <c:v>-12.5</c:v>
                </c:pt>
                <c:pt idx="1">
                  <c:v>0</c:v>
                </c:pt>
              </c:numCache>
            </c:numRef>
          </c:xVal>
          <c:yVal>
            <c:numRef>
              <c:f>Hoja1!$O$4:$O$5</c:f>
              <c:numCache>
                <c:formatCode>General</c:formatCode>
                <c:ptCount val="2"/>
                <c:pt idx="0">
                  <c:v>0</c:v>
                </c:pt>
                <c:pt idx="1">
                  <c:v>3.6999999999999998E-2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F9-E64C-8438-F08CF3D13CB2}"/>
            </c:ext>
          </c:extLst>
        </c:ser>
        <c:ser>
          <c:idx val="2"/>
          <c:order val="1"/>
          <c:tx>
            <c:strRef>
              <c:f>Hoja1!$P$2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35"/>
            <c:dispRSqr val="0"/>
            <c:dispEq val="0"/>
          </c:trendline>
          <c:xVal>
            <c:numRef>
              <c:f>Hoja1!$P$4:$P$5</c:f>
              <c:numCache>
                <c:formatCode>General</c:formatCode>
                <c:ptCount val="2"/>
                <c:pt idx="0">
                  <c:v>-20</c:v>
                </c:pt>
                <c:pt idx="1">
                  <c:v>0</c:v>
                </c:pt>
              </c:numCache>
            </c:numRef>
          </c:xVal>
          <c:yVal>
            <c:numRef>
              <c:f>Hoja1!$Q$4:$Q$5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F9-E64C-8438-F08CF3D13CB2}"/>
            </c:ext>
          </c:extLst>
        </c:ser>
        <c:ser>
          <c:idx val="4"/>
          <c:order val="2"/>
          <c:tx>
            <c:strRef>
              <c:f>Hoja1!$R$2</c:f>
              <c:strCache>
                <c:ptCount val="1"/>
                <c:pt idx="0">
                  <c:v>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35"/>
            <c:dispRSqr val="0"/>
            <c:dispEq val="0"/>
          </c:trendline>
          <c:xVal>
            <c:numRef>
              <c:f>Hoja1!$R$4:$R$5</c:f>
              <c:numCache>
                <c:formatCode>General</c:formatCode>
                <c:ptCount val="2"/>
                <c:pt idx="0">
                  <c:v>-25</c:v>
                </c:pt>
                <c:pt idx="1">
                  <c:v>0</c:v>
                </c:pt>
              </c:numCache>
            </c:numRef>
          </c:xVal>
          <c:yVal>
            <c:numRef>
              <c:f>Hoja1!$S$4:$S$5</c:f>
              <c:numCache>
                <c:formatCode>General</c:formatCode>
                <c:ptCount val="2"/>
                <c:pt idx="0">
                  <c:v>0</c:v>
                </c:pt>
                <c:pt idx="1">
                  <c:v>5.5E-2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F9-E64C-8438-F08CF3D13CB2}"/>
            </c:ext>
          </c:extLst>
        </c:ser>
        <c:ser>
          <c:idx val="6"/>
          <c:order val="3"/>
          <c:tx>
            <c:strRef>
              <c:f>Hoja1!$T$2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forward val="35"/>
            <c:dispRSqr val="0"/>
            <c:dispEq val="0"/>
          </c:trendline>
          <c:xVal>
            <c:numRef>
              <c:f>Hoja1!$T$4:$T$5</c:f>
              <c:numCache>
                <c:formatCode>General</c:formatCode>
                <c:ptCount val="2"/>
                <c:pt idx="0">
                  <c:v>-50</c:v>
                </c:pt>
                <c:pt idx="1">
                  <c:v>0</c:v>
                </c:pt>
              </c:numCache>
            </c:numRef>
          </c:xVal>
          <c:yVal>
            <c:numRef>
              <c:f>Hoja1!$U$4:$U$5</c:f>
              <c:numCache>
                <c:formatCode>General</c:formatCode>
                <c:ptCount val="2"/>
                <c:pt idx="0">
                  <c:v>0</c:v>
                </c:pt>
                <c:pt idx="1">
                  <c:v>7.2999999999999995E-2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F9-E64C-8438-F08CF3D13CB2}"/>
            </c:ext>
          </c:extLst>
        </c:ser>
        <c:ser>
          <c:idx val="8"/>
          <c:order val="4"/>
          <c:tx>
            <c:strRef>
              <c:f>Hoja1!$V$2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forward val="35"/>
            <c:dispRSqr val="0"/>
            <c:dispEq val="0"/>
          </c:trendline>
          <c:xVal>
            <c:numRef>
              <c:f>Hoja1!$V$4:$V$5</c:f>
              <c:numCache>
                <c:formatCode>General</c:formatCode>
                <c:ptCount val="2"/>
                <c:pt idx="0">
                  <c:v>-100</c:v>
                </c:pt>
                <c:pt idx="1">
                  <c:v>0</c:v>
                </c:pt>
              </c:numCache>
            </c:numRef>
          </c:xVal>
          <c:yVal>
            <c:numRef>
              <c:f>Hoja1!$W$4:$W$5</c:f>
              <c:numCache>
                <c:formatCode>General</c:formatCode>
                <c:ptCount val="2"/>
                <c:pt idx="0">
                  <c:v>0</c:v>
                </c:pt>
                <c:pt idx="1">
                  <c:v>9.0999999999999998E-2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F9-E64C-8438-F08CF3D13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823376"/>
        <c:axId val="575689376"/>
      </c:scatterChart>
      <c:valAx>
        <c:axId val="477823376"/>
        <c:scaling>
          <c:orientation val="minMax"/>
          <c:max val="4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200" b="1"/>
                  <a:t>Concentration en</a:t>
                </a:r>
                <a:r>
                  <a:rPr lang="fr-CA" sz="1200" b="1" baseline="0"/>
                  <a:t> peroxyde (mmol/L)</a:t>
                </a:r>
                <a:endParaRPr lang="fr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5689376"/>
        <c:crosses val="autoZero"/>
        <c:crossBetween val="midCat"/>
      </c:valAx>
      <c:valAx>
        <c:axId val="57568937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200" b="1"/>
                  <a:t>Vitesse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78233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321E56-0937-BF4A-A850-6577C2018145}">
  <sheetPr/>
  <sheetViews>
    <sheetView tabSelected="1" zoomScale="1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8045FA-2993-9C48-9764-04C23805502A}">
  <sheetPr/>
  <sheetViews>
    <sheetView zoomScale="1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35F398-36C9-8943-B3D5-681A60E7C6CD}">
  <sheetPr/>
  <sheetViews>
    <sheetView zoomScale="1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033" cy="62947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1268C1-2601-394E-03A8-4FC03763E4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6033" cy="629478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8BC4474-3ACB-6C3F-92E4-26011A7DC3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6033" cy="629478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6EAF1A4-829F-D4B9-4CBF-896EBB1E1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21EF-2F33-5D4E-AA64-015F90897498}">
  <dimension ref="A1:W30"/>
  <sheetViews>
    <sheetView zoomScaleNormal="100" workbookViewId="0">
      <selection activeCell="K6" sqref="K6"/>
    </sheetView>
  </sheetViews>
  <sheetFormatPr baseColWidth="10" defaultRowHeight="16" x14ac:dyDescent="0.2"/>
  <cols>
    <col min="1" max="1" width="5.1640625" bestFit="1" customWidth="1"/>
    <col min="2" max="2" width="12.1640625" bestFit="1" customWidth="1"/>
    <col min="3" max="3" width="8.83203125" bestFit="1" customWidth="1"/>
    <col min="4" max="5" width="12.1640625" bestFit="1" customWidth="1"/>
    <col min="6" max="7" width="12.1640625" customWidth="1"/>
    <col min="9" max="9" width="13" bestFit="1" customWidth="1"/>
    <col min="10" max="10" width="9.83203125" bestFit="1" customWidth="1"/>
    <col min="13" max="13" width="5.6640625" bestFit="1" customWidth="1"/>
    <col min="14" max="14" width="5.83203125" bestFit="1" customWidth="1"/>
    <col min="15" max="15" width="6.1640625" bestFit="1" customWidth="1"/>
    <col min="16" max="16" width="3.83203125" bestFit="1" customWidth="1"/>
    <col min="17" max="17" width="5.6640625" bestFit="1" customWidth="1"/>
    <col min="18" max="18" width="3.83203125" bestFit="1" customWidth="1"/>
    <col min="19" max="19" width="6.1640625" bestFit="1" customWidth="1"/>
    <col min="20" max="20" width="3.83203125" bestFit="1" customWidth="1"/>
    <col min="21" max="21" width="6.1640625" bestFit="1" customWidth="1"/>
    <col min="22" max="22" width="4.83203125" bestFit="1" customWidth="1"/>
    <col min="23" max="23" width="6.1640625" bestFit="1" customWidth="1"/>
  </cols>
  <sheetData>
    <row r="1" spans="1:23" ht="18" x14ac:dyDescent="0.25">
      <c r="A1" t="s">
        <v>0</v>
      </c>
      <c r="B1" t="s">
        <v>12</v>
      </c>
      <c r="C1" t="s">
        <v>8</v>
      </c>
      <c r="D1" t="s">
        <v>10</v>
      </c>
      <c r="E1" t="s">
        <v>9</v>
      </c>
      <c r="I1" t="s">
        <v>3</v>
      </c>
      <c r="J1" t="s">
        <v>6</v>
      </c>
      <c r="K1" t="s">
        <v>7</v>
      </c>
      <c r="N1" s="6" t="s">
        <v>15</v>
      </c>
      <c r="O1" s="6"/>
      <c r="P1" s="6"/>
      <c r="Q1" s="6"/>
      <c r="R1" s="6"/>
      <c r="S1" s="6"/>
      <c r="T1" s="6"/>
      <c r="U1" s="6"/>
      <c r="V1" s="6"/>
      <c r="W1" s="6"/>
    </row>
    <row r="2" spans="1:23" x14ac:dyDescent="0.2">
      <c r="A2">
        <v>12.5</v>
      </c>
      <c r="B2">
        <f>LOG10(A2)</f>
        <v>1.0969100130080565</v>
      </c>
      <c r="C2">
        <v>3.6999999999999998E-2</v>
      </c>
      <c r="D2">
        <f>$K$2*LOG10(A2)+$K$3</f>
        <v>3.7284943247737408E-2</v>
      </c>
      <c r="E2">
        <f>($K$4*A2)/($K$5+A2)</f>
        <v>3.7038267339888395E-2</v>
      </c>
      <c r="I2" s="5" t="s">
        <v>11</v>
      </c>
      <c r="J2" t="s">
        <v>1</v>
      </c>
      <c r="K2">
        <v>5.9481399999999997E-2</v>
      </c>
      <c r="M2" t="s">
        <v>0</v>
      </c>
      <c r="N2" s="6">
        <f>A2</f>
        <v>12.5</v>
      </c>
      <c r="O2" s="6"/>
      <c r="P2" s="6">
        <f>A3</f>
        <v>20</v>
      </c>
      <c r="Q2" s="6"/>
      <c r="R2" s="6">
        <f>A4</f>
        <v>25</v>
      </c>
      <c r="S2" s="6"/>
      <c r="T2" s="6">
        <f>A5</f>
        <v>50</v>
      </c>
      <c r="U2" s="6"/>
      <c r="V2" s="6">
        <f>A6</f>
        <v>100</v>
      </c>
      <c r="W2" s="6"/>
    </row>
    <row r="3" spans="1:23" x14ac:dyDescent="0.2">
      <c r="A3">
        <v>20</v>
      </c>
      <c r="B3">
        <f t="shared" ref="B3:B6" si="0">LOG10(A3)</f>
        <v>1.3010299956639813</v>
      </c>
      <c r="C3" s="1">
        <v>0.05</v>
      </c>
      <c r="D3">
        <f t="shared" ref="D3:D6" si="1">$K$2*LOG10(A3)+$K$3</f>
        <v>4.9426285584087536E-2</v>
      </c>
      <c r="E3">
        <f t="shared" ref="E3:E6" si="2">($K$4*A3)/($K$5+A3)</f>
        <v>4.9412807445158434E-2</v>
      </c>
      <c r="I3" s="5"/>
      <c r="J3" t="s">
        <v>2</v>
      </c>
      <c r="K3">
        <v>-2.7960800000000001E-2</v>
      </c>
      <c r="M3" t="s">
        <v>18</v>
      </c>
      <c r="N3" t="s">
        <v>13</v>
      </c>
      <c r="O3" t="s">
        <v>14</v>
      </c>
      <c r="P3" t="s">
        <v>13</v>
      </c>
      <c r="Q3" t="s">
        <v>14</v>
      </c>
      <c r="R3" t="s">
        <v>13</v>
      </c>
      <c r="S3" t="s">
        <v>14</v>
      </c>
      <c r="T3" t="s">
        <v>13</v>
      </c>
      <c r="U3" t="s">
        <v>14</v>
      </c>
      <c r="V3" t="s">
        <v>13</v>
      </c>
      <c r="W3" t="s">
        <v>14</v>
      </c>
    </row>
    <row r="4" spans="1:23" ht="18" x14ac:dyDescent="0.25">
      <c r="A4">
        <v>25</v>
      </c>
      <c r="B4">
        <f t="shared" si="0"/>
        <v>1.3979400086720377</v>
      </c>
      <c r="C4">
        <v>5.5E-2</v>
      </c>
      <c r="D4">
        <f t="shared" si="1"/>
        <v>5.5190628831824941E-2</v>
      </c>
      <c r="E4">
        <f t="shared" si="2"/>
        <v>5.5605425892679042E-2</v>
      </c>
      <c r="I4" s="5" t="s">
        <v>31</v>
      </c>
      <c r="J4" t="s">
        <v>4</v>
      </c>
      <c r="K4" s="2">
        <v>0.1115</v>
      </c>
      <c r="M4" t="s">
        <v>17</v>
      </c>
      <c r="N4">
        <f>-1*N2</f>
        <v>-12.5</v>
      </c>
      <c r="O4">
        <v>0</v>
      </c>
      <c r="P4">
        <f>-1*P2</f>
        <v>-20</v>
      </c>
      <c r="Q4">
        <v>0</v>
      </c>
      <c r="R4">
        <f>-1*R2</f>
        <v>-25</v>
      </c>
      <c r="S4">
        <v>0</v>
      </c>
      <c r="T4">
        <f>-1*T2</f>
        <v>-50</v>
      </c>
      <c r="U4">
        <v>0</v>
      </c>
      <c r="V4">
        <f>-1*V2</f>
        <v>-100</v>
      </c>
      <c r="W4">
        <v>0</v>
      </c>
    </row>
    <row r="5" spans="1:23" ht="18" x14ac:dyDescent="0.25">
      <c r="A5">
        <v>50</v>
      </c>
      <c r="B5">
        <f t="shared" si="0"/>
        <v>1.6989700043360187</v>
      </c>
      <c r="C5">
        <v>7.2999999999999995E-2</v>
      </c>
      <c r="D5">
        <f t="shared" si="1"/>
        <v>7.3096314415912467E-2</v>
      </c>
      <c r="E5">
        <f t="shared" si="2"/>
        <v>7.4204711832823109E-2</v>
      </c>
      <c r="I5" s="5"/>
      <c r="J5" t="s">
        <v>5</v>
      </c>
      <c r="K5" s="3">
        <v>25.13</v>
      </c>
      <c r="M5" t="s">
        <v>16</v>
      </c>
      <c r="N5">
        <v>0</v>
      </c>
      <c r="O5">
        <f>C2</f>
        <v>3.6999999999999998E-2</v>
      </c>
      <c r="P5">
        <v>0</v>
      </c>
      <c r="Q5" s="1">
        <f>C3</f>
        <v>0.05</v>
      </c>
      <c r="R5">
        <v>0</v>
      </c>
      <c r="S5">
        <f>C4</f>
        <v>5.5E-2</v>
      </c>
      <c r="T5">
        <v>0</v>
      </c>
      <c r="U5">
        <f>C5</f>
        <v>7.2999999999999995E-2</v>
      </c>
      <c r="V5">
        <v>0</v>
      </c>
      <c r="W5">
        <f>C6</f>
        <v>9.0999999999999998E-2</v>
      </c>
    </row>
    <row r="6" spans="1:23" x14ac:dyDescent="0.2">
      <c r="A6">
        <v>100</v>
      </c>
      <c r="B6">
        <f t="shared" si="0"/>
        <v>2</v>
      </c>
      <c r="C6">
        <v>9.0999999999999998E-2</v>
      </c>
      <c r="D6">
        <f t="shared" si="1"/>
        <v>9.1002E-2</v>
      </c>
      <c r="E6">
        <f t="shared" si="2"/>
        <v>8.9107328378486381E-2</v>
      </c>
      <c r="I6" s="5" t="s">
        <v>19</v>
      </c>
      <c r="J6" t="s">
        <v>1</v>
      </c>
      <c r="K6">
        <v>1.3624600000000001E-2</v>
      </c>
    </row>
    <row r="7" spans="1:23" x14ac:dyDescent="0.2">
      <c r="I7" s="5"/>
      <c r="J7" t="s">
        <v>2</v>
      </c>
      <c r="K7">
        <v>0.42139300000000002</v>
      </c>
    </row>
    <row r="9" spans="1:23" x14ac:dyDescent="0.2">
      <c r="A9" s="6" t="s">
        <v>22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23" ht="18" x14ac:dyDescent="0.25">
      <c r="B10" t="s">
        <v>4</v>
      </c>
      <c r="C10" t="s">
        <v>5</v>
      </c>
      <c r="D10" t="s">
        <v>20</v>
      </c>
      <c r="E10" t="s">
        <v>21</v>
      </c>
      <c r="F10" s="6" t="s">
        <v>10</v>
      </c>
      <c r="G10" s="6"/>
      <c r="H10" s="6"/>
      <c r="I10" s="6" t="s">
        <v>9</v>
      </c>
      <c r="J10" s="6"/>
      <c r="K10" s="6"/>
      <c r="L10" s="6" t="s">
        <v>30</v>
      </c>
      <c r="M10" s="6"/>
      <c r="N10" s="6"/>
    </row>
    <row r="11" spans="1:23" x14ac:dyDescent="0.2">
      <c r="A11" s="5" t="s">
        <v>23</v>
      </c>
      <c r="B11" s="5">
        <v>0.1033</v>
      </c>
      <c r="C11" s="5">
        <v>21.81</v>
      </c>
      <c r="D11" s="4">
        <v>12.5</v>
      </c>
      <c r="E11">
        <v>21.8105098199681</v>
      </c>
      <c r="F11">
        <f>D11*($K$2/LN(10)*LN(D11)-($K$2/LN(10))+$K$3)</f>
        <v>0.14315624314821659</v>
      </c>
      <c r="G11">
        <f>E11*($K$2/LN(10)*LN(E11)-($K$2/LN(10))+$K$3)</f>
        <v>0.56341940931815915</v>
      </c>
      <c r="H11">
        <f>G11-F11</f>
        <v>0.42026316616994253</v>
      </c>
      <c r="I11">
        <f>$B$11*(D11-$C$11*LN(ABS(D11+$C$11)))</f>
        <v>-6.673993781733782</v>
      </c>
      <c r="J11">
        <f>$B$11*(E11-$C$11*LN(ABS(E11+$C$11)))</f>
        <v>-6.253135737741883</v>
      </c>
      <c r="K11">
        <f>J11-I11</f>
        <v>0.42085804399189897</v>
      </c>
      <c r="L11">
        <f>ABS(H11-K11)</f>
        <v>5.9487782195644101E-4</v>
      </c>
      <c r="M11" s="5">
        <f>SUM(L11:L12)</f>
        <v>0.19081359290049127</v>
      </c>
      <c r="N11" s="5"/>
    </row>
    <row r="12" spans="1:23" x14ac:dyDescent="0.2">
      <c r="A12" s="5"/>
      <c r="B12" s="5"/>
      <c r="C12" s="5"/>
      <c r="D12">
        <f>E11</f>
        <v>21.8105098199681</v>
      </c>
      <c r="E12" s="4">
        <v>100</v>
      </c>
      <c r="F12">
        <f>D12*($K$2/LN(10)*LN(D12)-($K$2/LN(10))+$K$3)</f>
        <v>0.56341940931815915</v>
      </c>
      <c r="G12">
        <f>E12*($K$2/LN(10)*LN(E12)-($K$2/LN(10))+$K$3)</f>
        <v>6.5169556204119905</v>
      </c>
      <c r="H12">
        <f>G12-F12</f>
        <v>5.953536211093831</v>
      </c>
      <c r="I12">
        <f>$B$11*(D12-$C$11*LN(ABS(D12+$C$11)))</f>
        <v>-6.253135737741883</v>
      </c>
      <c r="J12">
        <f>$B$11*(E12-$C$11*LN(ABS(E12+$C$11)))</f>
        <v>-0.48981824172658694</v>
      </c>
      <c r="K12">
        <f>J12-I12</f>
        <v>5.7633174960152962</v>
      </c>
      <c r="L12">
        <f>ABS(H12-K12)</f>
        <v>0.19021871507853483</v>
      </c>
      <c r="M12" s="5"/>
      <c r="N12" s="5"/>
    </row>
    <row r="13" spans="1:23" x14ac:dyDescent="0.2">
      <c r="A13" s="5" t="s">
        <v>24</v>
      </c>
      <c r="B13" s="5">
        <v>0.1118</v>
      </c>
      <c r="C13" s="5">
        <v>25.24</v>
      </c>
      <c r="D13">
        <f>$D$11</f>
        <v>12.5</v>
      </c>
      <c r="E13">
        <v>20.147617441101598</v>
      </c>
      <c r="F13">
        <f t="shared" ref="F13:F15" si="3">D13*($K$2/LN(10)*LN(D13)-($K$2/LN(10))+$K$3)</f>
        <v>0.14315624314821659</v>
      </c>
      <c r="G13">
        <f t="shared" ref="G13:G15" si="4">E13*($K$2/LN(10)*LN(E13)-($K$2/LN(10))+$K$3)</f>
        <v>0.47918705587998178</v>
      </c>
      <c r="H13">
        <f t="shared" ref="H13:H15" si="5">G13-F13</f>
        <v>0.33603081273176516</v>
      </c>
      <c r="I13">
        <f>$B$13*(D13-$C$13*LN(ABS(D13+$C$13)))</f>
        <v>-8.8477834026611095</v>
      </c>
      <c r="J13">
        <f>$B$13*(E13-$C$13*LN(ABS(E13+$C$13)))</f>
        <v>-8.5134607829342563</v>
      </c>
      <c r="K13">
        <f>J13-I13</f>
        <v>0.33432261972685318</v>
      </c>
      <c r="L13">
        <f>ABS(H13-K13)</f>
        <v>1.7081930049119842E-3</v>
      </c>
      <c r="M13" s="5">
        <f>SUM(L13:L15)</f>
        <v>6.7239401917722597E-2</v>
      </c>
      <c r="N13" s="5"/>
    </row>
    <row r="14" spans="1:23" x14ac:dyDescent="0.2">
      <c r="A14" s="5"/>
      <c r="B14" s="5"/>
      <c r="C14" s="5"/>
      <c r="D14">
        <f>E13</f>
        <v>20.147617441101598</v>
      </c>
      <c r="E14">
        <v>75.907855428222305</v>
      </c>
      <c r="F14">
        <f t="shared" si="3"/>
        <v>0.47918705587998178</v>
      </c>
      <c r="G14">
        <f t="shared" si="4"/>
        <v>4.4063631683266218</v>
      </c>
      <c r="H14">
        <f t="shared" si="5"/>
        <v>3.9271761124466398</v>
      </c>
      <c r="I14">
        <f t="shared" ref="I14:J15" si="6">$B$13*(D14-$C$13*LN(ABS(D14+$C$13)))</f>
        <v>-8.5134607829342563</v>
      </c>
      <c r="J14">
        <f t="shared" si="6"/>
        <v>-4.5407244232533115</v>
      </c>
      <c r="K14">
        <f t="shared" ref="K14:K15" si="7">J14-I14</f>
        <v>3.9727363596809449</v>
      </c>
      <c r="L14">
        <f t="shared" ref="L14:L15" si="8">ABS(H14-K14)</f>
        <v>4.5560247234305074E-2</v>
      </c>
      <c r="M14" s="5"/>
      <c r="N14" s="5"/>
    </row>
    <row r="15" spans="1:23" x14ac:dyDescent="0.2">
      <c r="A15" s="5"/>
      <c r="B15" s="5"/>
      <c r="C15" s="5"/>
      <c r="D15">
        <f>E14</f>
        <v>75.907855428222305</v>
      </c>
      <c r="E15">
        <v>100</v>
      </c>
      <c r="F15">
        <f t="shared" si="3"/>
        <v>4.4063631683266218</v>
      </c>
      <c r="G15">
        <f t="shared" si="4"/>
        <v>6.5169556204119905</v>
      </c>
      <c r="H15">
        <f t="shared" si="5"/>
        <v>2.1105924520853687</v>
      </c>
      <c r="I15">
        <f t="shared" si="6"/>
        <v>-4.5407244232533115</v>
      </c>
      <c r="J15">
        <f t="shared" si="6"/>
        <v>-2.4501029328464483</v>
      </c>
      <c r="K15">
        <f t="shared" si="7"/>
        <v>2.0906214904068632</v>
      </c>
      <c r="L15">
        <f t="shared" si="8"/>
        <v>1.9970961678505539E-2</v>
      </c>
      <c r="M15" s="5"/>
      <c r="N15" s="5"/>
    </row>
    <row r="16" spans="1:23" x14ac:dyDescent="0.2">
      <c r="A16" s="5" t="s">
        <v>25</v>
      </c>
      <c r="B16" s="5">
        <v>0.1115</v>
      </c>
      <c r="C16" s="5">
        <v>25.13</v>
      </c>
      <c r="D16">
        <f>$D$11</f>
        <v>12.5</v>
      </c>
      <c r="E16">
        <v>20.033836517991499</v>
      </c>
      <c r="F16">
        <f t="shared" ref="F16:F30" si="9">D16*($K$2/LN(10)*LN(D16)-($K$2/LN(10))+$K$3)</f>
        <v>0.14315624314821659</v>
      </c>
      <c r="G16">
        <f t="shared" ref="G16:G30" si="10">E16*($K$2/LN(10)*LN(E16)-($K$2/LN(10))+$K$3)</f>
        <v>0.47354998814449217</v>
      </c>
      <c r="H16">
        <f t="shared" ref="H16:H30" si="11">G16-F16</f>
        <v>0.33039374499627561</v>
      </c>
      <c r="I16">
        <f>$B$16*(D16-$C$16*LN(ABS(D16+$C$16)))</f>
        <v>-8.7713319570961552</v>
      </c>
      <c r="J16">
        <f>$B$16*(E16-$C$16*LN(ABS(E16+$C$16)))</f>
        <v>-8.4426595009360579</v>
      </c>
      <c r="K16">
        <f t="shared" ref="K16:K18" si="12">J16-I16</f>
        <v>0.32867245616009733</v>
      </c>
      <c r="L16">
        <f t="shared" ref="L16:L18" si="13">ABS(H16-K16)</f>
        <v>1.7212888361782808E-3</v>
      </c>
      <c r="M16" s="5">
        <f>SUM(L16:L18)</f>
        <v>6.6438104392574249E-2</v>
      </c>
      <c r="N16" s="5"/>
    </row>
    <row r="17" spans="1:14" x14ac:dyDescent="0.2">
      <c r="A17" s="5"/>
      <c r="B17" s="5"/>
      <c r="C17" s="5"/>
      <c r="D17">
        <f>E16</f>
        <v>20.033836517991499</v>
      </c>
      <c r="E17">
        <v>74.442933006459498</v>
      </c>
      <c r="F17">
        <f t="shared" si="9"/>
        <v>0.47354998814449217</v>
      </c>
      <c r="G17">
        <f t="shared" si="10"/>
        <v>4.283851118395301</v>
      </c>
      <c r="H17">
        <f t="shared" si="11"/>
        <v>3.8103011302508087</v>
      </c>
      <c r="I17">
        <f t="shared" ref="I17:J18" si="14">$B$16*(D17-$C$16*LN(ABS(D17+$C$16)))</f>
        <v>-8.4426595009360579</v>
      </c>
      <c r="J17">
        <f t="shared" si="14"/>
        <v>-4.5912847840144053</v>
      </c>
      <c r="K17">
        <f t="shared" si="12"/>
        <v>3.8513747169216526</v>
      </c>
      <c r="L17">
        <f t="shared" si="13"/>
        <v>4.107358667084382E-2</v>
      </c>
      <c r="M17" s="5"/>
      <c r="N17" s="5"/>
    </row>
    <row r="18" spans="1:14" x14ac:dyDescent="0.2">
      <c r="A18" s="5"/>
      <c r="B18" s="5"/>
      <c r="C18" s="5"/>
      <c r="D18">
        <f>E17</f>
        <v>74.442933006459498</v>
      </c>
      <c r="E18">
        <v>100</v>
      </c>
      <c r="F18">
        <f t="shared" si="9"/>
        <v>4.283851118395301</v>
      </c>
      <c r="G18">
        <f t="shared" si="10"/>
        <v>6.5169556204119905</v>
      </c>
      <c r="H18">
        <f t="shared" si="11"/>
        <v>2.2331045020166895</v>
      </c>
      <c r="I18">
        <f t="shared" si="14"/>
        <v>-4.5912847840144053</v>
      </c>
      <c r="J18">
        <f t="shared" si="14"/>
        <v>-2.3818235108832679</v>
      </c>
      <c r="K18">
        <f t="shared" si="12"/>
        <v>2.2094612731311374</v>
      </c>
      <c r="L18">
        <f t="shared" si="13"/>
        <v>2.3643228885552148E-2</v>
      </c>
      <c r="M18" s="5"/>
      <c r="N18" s="5"/>
    </row>
    <row r="19" spans="1:14" x14ac:dyDescent="0.2">
      <c r="A19" s="5" t="s">
        <v>26</v>
      </c>
      <c r="B19" s="5">
        <v>0.11260000000000001</v>
      </c>
      <c r="C19" s="5">
        <v>25.61</v>
      </c>
      <c r="D19">
        <f>$D$11</f>
        <v>12.5</v>
      </c>
      <c r="E19">
        <v>20.6619897321903</v>
      </c>
      <c r="F19">
        <f t="shared" si="9"/>
        <v>0.14315624314821659</v>
      </c>
      <c r="G19">
        <f t="shared" si="10"/>
        <v>0.50487647151218762</v>
      </c>
      <c r="H19">
        <f t="shared" si="11"/>
        <v>0.361720228363971</v>
      </c>
      <c r="I19">
        <f>$B$19*(D19-$C$19*LN(ABS(D19+$C$19)))</f>
        <v>-9.0904917360420843</v>
      </c>
      <c r="J19">
        <f>$B$19*(E19-$C$19*LN(ABS(E19+$C$19)))</f>
        <v>-8.731060056166438</v>
      </c>
      <c r="K19">
        <f t="shared" ref="K19:K21" si="15">J19-I19</f>
        <v>0.35943167987564628</v>
      </c>
      <c r="L19">
        <f t="shared" ref="L19:L21" si="16">ABS(H19-K19)</f>
        <v>2.2885484883247154E-3</v>
      </c>
      <c r="M19" s="5">
        <f>SUM(L19:L21)</f>
        <v>6.9241854143262338E-2</v>
      </c>
      <c r="N19" s="5"/>
    </row>
    <row r="20" spans="1:14" x14ac:dyDescent="0.2">
      <c r="A20" s="5"/>
      <c r="B20" s="5"/>
      <c r="C20" s="5"/>
      <c r="D20">
        <f>E19</f>
        <v>20.6619897321903</v>
      </c>
      <c r="E20">
        <v>80.604418907483605</v>
      </c>
      <c r="F20">
        <f t="shared" si="9"/>
        <v>0.50487647151218762</v>
      </c>
      <c r="G20">
        <f t="shared" si="10"/>
        <v>4.8039951221831991</v>
      </c>
      <c r="H20">
        <f t="shared" si="11"/>
        <v>4.2991186506710113</v>
      </c>
      <c r="I20">
        <f t="shared" ref="I20:J21" si="17">$B$19*(D20-$C$19*LN(ABS(D20+$C$19)))</f>
        <v>-8.731060056166438</v>
      </c>
      <c r="J20">
        <f t="shared" si="17"/>
        <v>-4.3776637441454449</v>
      </c>
      <c r="K20">
        <f t="shared" si="15"/>
        <v>4.3533963120209931</v>
      </c>
      <c r="L20">
        <f t="shared" si="16"/>
        <v>5.4277661349981798E-2</v>
      </c>
      <c r="M20" s="5"/>
      <c r="N20" s="5"/>
    </row>
    <row r="21" spans="1:14" x14ac:dyDescent="0.2">
      <c r="A21" s="5"/>
      <c r="B21" s="5"/>
      <c r="C21" s="5"/>
      <c r="D21">
        <f>E20</f>
        <v>80.604418907483605</v>
      </c>
      <c r="E21">
        <v>100</v>
      </c>
      <c r="F21">
        <f t="shared" si="9"/>
        <v>4.8039951221831991</v>
      </c>
      <c r="G21">
        <f t="shared" si="10"/>
        <v>6.5169556204119905</v>
      </c>
      <c r="H21">
        <f t="shared" si="11"/>
        <v>1.7129604982287914</v>
      </c>
      <c r="I21">
        <f t="shared" si="17"/>
        <v>-4.3776637441454449</v>
      </c>
      <c r="J21">
        <f t="shared" si="17"/>
        <v>-2.6773788902216094</v>
      </c>
      <c r="K21">
        <f t="shared" si="15"/>
        <v>1.7002848539238355</v>
      </c>
      <c r="L21">
        <f t="shared" si="16"/>
        <v>1.2675644304955824E-2</v>
      </c>
      <c r="M21" s="5"/>
      <c r="N21" s="5"/>
    </row>
    <row r="22" spans="1:14" x14ac:dyDescent="0.2">
      <c r="A22" s="5" t="s">
        <v>27</v>
      </c>
      <c r="B22" s="5">
        <v>0.11269999999999999</v>
      </c>
      <c r="C22" s="5">
        <v>25.47</v>
      </c>
      <c r="D22">
        <f>$D$11</f>
        <v>12.5</v>
      </c>
      <c r="E22">
        <v>18.437861846839699</v>
      </c>
      <c r="F22">
        <f t="shared" si="9"/>
        <v>0.14315624314821659</v>
      </c>
      <c r="G22">
        <f t="shared" si="10"/>
        <v>0.39628481903313884</v>
      </c>
      <c r="H22">
        <f t="shared" si="11"/>
        <v>0.25312857588492221</v>
      </c>
      <c r="I22">
        <f>$B$22*(D22-$C$22*LN(ABS(D22+$C$22)))</f>
        <v>-9.0305612515789697</v>
      </c>
      <c r="J22">
        <f>$B$22*(E22-$C$22*LN(ABS(E22+$C$22)))</f>
        <v>-8.7784347992292702</v>
      </c>
      <c r="K22">
        <f t="shared" ref="K22:K24" si="18">J22-I22</f>
        <v>0.25212645234969955</v>
      </c>
      <c r="L22">
        <f t="shared" ref="L22:L24" si="19">ABS(H22-K22)</f>
        <v>1.0021235352226654E-3</v>
      </c>
      <c r="M22" s="5">
        <f>SUM(L22:L24)</f>
        <v>7.7324198207290529E-2</v>
      </c>
      <c r="N22" s="5"/>
    </row>
    <row r="23" spans="1:14" x14ac:dyDescent="0.2">
      <c r="A23" s="5"/>
      <c r="B23" s="5"/>
      <c r="C23" s="5"/>
      <c r="D23">
        <f>E22</f>
        <v>18.437861846839699</v>
      </c>
      <c r="E23">
        <v>83.712210015958405</v>
      </c>
      <c r="F23">
        <f t="shared" si="9"/>
        <v>0.39628481903313884</v>
      </c>
      <c r="G23">
        <f t="shared" si="10"/>
        <v>5.0710283832474241</v>
      </c>
      <c r="H23">
        <f t="shared" si="11"/>
        <v>4.6747435642142854</v>
      </c>
      <c r="I23">
        <f t="shared" ref="I23:J24" si="20">$B$22*(D23-$C$22*LN(ABS(D23+$C$22)))</f>
        <v>-8.7784347992292702</v>
      </c>
      <c r="J23">
        <f t="shared" si="20"/>
        <v>-4.0367970130479067</v>
      </c>
      <c r="K23">
        <f t="shared" si="18"/>
        <v>4.7416377861813634</v>
      </c>
      <c r="L23">
        <f t="shared" si="19"/>
        <v>6.689422196707806E-2</v>
      </c>
      <c r="M23" s="5"/>
      <c r="N23" s="5"/>
    </row>
    <row r="24" spans="1:14" x14ac:dyDescent="0.2">
      <c r="A24" s="5"/>
      <c r="B24" s="5"/>
      <c r="C24" s="5"/>
      <c r="D24">
        <f>E23</f>
        <v>83.712210015958405</v>
      </c>
      <c r="E24">
        <v>100</v>
      </c>
      <c r="F24">
        <f t="shared" si="9"/>
        <v>5.0710283832474241</v>
      </c>
      <c r="G24">
        <f t="shared" si="10"/>
        <v>6.5169556204119905</v>
      </c>
      <c r="H24">
        <f t="shared" si="11"/>
        <v>1.4459272371645664</v>
      </c>
      <c r="I24">
        <f t="shared" si="20"/>
        <v>-4.0367970130479067</v>
      </c>
      <c r="J24">
        <f t="shared" si="20"/>
        <v>-2.6002976285883301</v>
      </c>
      <c r="K24">
        <f t="shared" si="18"/>
        <v>1.4364993844595766</v>
      </c>
      <c r="L24">
        <f t="shared" si="19"/>
        <v>9.4278527049898031E-3</v>
      </c>
      <c r="M24" s="5"/>
      <c r="N24" s="5"/>
    </row>
    <row r="25" spans="1:14" x14ac:dyDescent="0.2">
      <c r="A25" s="5" t="s">
        <v>28</v>
      </c>
      <c r="B25" s="5">
        <v>0.1147</v>
      </c>
      <c r="C25" s="5">
        <v>26.76</v>
      </c>
      <c r="D25">
        <f>$D$11</f>
        <v>12.5</v>
      </c>
      <c r="E25">
        <v>23.274788136571999</v>
      </c>
      <c r="F25">
        <f t="shared" si="9"/>
        <v>0.14315624314821659</v>
      </c>
      <c r="G25">
        <f t="shared" si="10"/>
        <v>0.6403134748816397</v>
      </c>
      <c r="H25">
        <f t="shared" si="11"/>
        <v>0.49715723173342308</v>
      </c>
      <c r="I25">
        <f>$B$25*(D25-$C$25*LN(ABS(D25+$C$25)))</f>
        <v>-9.8314781102777307</v>
      </c>
      <c r="J25">
        <f>$B$25*(E25-$C$25*LN(ABS(E25+$C$25)))</f>
        <v>-9.339970489023468</v>
      </c>
      <c r="K25">
        <f t="shared" ref="K25:K27" si="21">J25-I25</f>
        <v>0.49150762125426262</v>
      </c>
      <c r="L25">
        <f t="shared" ref="L25:L27" si="22">ABS(H25-K25)</f>
        <v>5.6496104791604607E-3</v>
      </c>
      <c r="M25" s="5">
        <f>SUM(L25:L27)</f>
        <v>8.0197419964009753E-2</v>
      </c>
      <c r="N25" s="5"/>
    </row>
    <row r="26" spans="1:14" x14ac:dyDescent="0.2">
      <c r="A26" s="5"/>
      <c r="B26" s="5"/>
      <c r="C26" s="5"/>
      <c r="D26">
        <f>E25</f>
        <v>23.274788136571999</v>
      </c>
      <c r="E26">
        <v>91.828309176174798</v>
      </c>
      <c r="F26">
        <f t="shared" si="9"/>
        <v>0.6403134748816397</v>
      </c>
      <c r="G26">
        <f t="shared" si="10"/>
        <v>5.7821854502295738</v>
      </c>
      <c r="H26">
        <f t="shared" si="11"/>
        <v>5.1418719753479341</v>
      </c>
      <c r="I26">
        <f t="shared" ref="I26:J27" si="23">$B$25*(D26-$C$25*LN(ABS(D26+$C$25)))</f>
        <v>-9.339970489023468</v>
      </c>
      <c r="J26">
        <f t="shared" si="23"/>
        <v>-4.1255636023414919</v>
      </c>
      <c r="K26">
        <f t="shared" si="21"/>
        <v>5.2144068866819762</v>
      </c>
      <c r="L26">
        <f t="shared" si="22"/>
        <v>7.2534911334042107E-2</v>
      </c>
      <c r="M26" s="5"/>
      <c r="N26" s="5"/>
    </row>
    <row r="27" spans="1:14" x14ac:dyDescent="0.2">
      <c r="A27" s="5"/>
      <c r="B27" s="5"/>
      <c r="C27" s="5"/>
      <c r="D27">
        <f>E26</f>
        <v>91.828309176174798</v>
      </c>
      <c r="E27">
        <v>100</v>
      </c>
      <c r="F27">
        <f t="shared" si="9"/>
        <v>5.7821854502295738</v>
      </c>
      <c r="G27">
        <f t="shared" si="10"/>
        <v>6.5169556204119905</v>
      </c>
      <c r="H27">
        <f t="shared" si="11"/>
        <v>0.73477017018241675</v>
      </c>
      <c r="I27">
        <f t="shared" si="23"/>
        <v>-4.1255636023414919</v>
      </c>
      <c r="J27">
        <f t="shared" si="23"/>
        <v>-3.3928063303098823</v>
      </c>
      <c r="K27">
        <f t="shared" si="21"/>
        <v>0.73275727203160956</v>
      </c>
      <c r="L27">
        <f t="shared" si="22"/>
        <v>2.0128981508071853E-3</v>
      </c>
      <c r="M27" s="5"/>
      <c r="N27" s="5"/>
    </row>
    <row r="28" spans="1:14" x14ac:dyDescent="0.2">
      <c r="A28" s="5" t="s">
        <v>29</v>
      </c>
      <c r="B28" s="5">
        <v>0.1115</v>
      </c>
      <c r="C28" s="5">
        <v>25.06</v>
      </c>
      <c r="D28">
        <f>$D$11</f>
        <v>12.5</v>
      </c>
      <c r="E28">
        <v>19.2292181061114</v>
      </c>
      <c r="F28">
        <f t="shared" si="9"/>
        <v>0.14315624314821659</v>
      </c>
      <c r="G28">
        <f t="shared" si="10"/>
        <v>0.43416865529613313</v>
      </c>
      <c r="H28">
        <f t="shared" si="11"/>
        <v>0.29101241214791651</v>
      </c>
      <c r="I28">
        <f>$B$28*(D28-$C$28*LN(ABS(D28+$C$28)))</f>
        <v>-8.7378143227604586</v>
      </c>
      <c r="J28">
        <f>$B$28*(E28-$C$28*LN(ABS(E28+$C$28)))</f>
        <v>-8.4479935131197408</v>
      </c>
      <c r="K28">
        <f t="shared" ref="K28:K30" si="24">J28-I28</f>
        <v>0.28982080964071777</v>
      </c>
      <c r="L28">
        <f t="shared" ref="L28:L30" si="25">ABS(H28-K28)</f>
        <v>1.1916025071987413E-3</v>
      </c>
      <c r="M28" s="5">
        <f>SUM(L28:L30)</f>
        <v>6.8379533125184633E-2</v>
      </c>
      <c r="N28" s="5"/>
    </row>
    <row r="29" spans="1:14" x14ac:dyDescent="0.2">
      <c r="A29" s="5"/>
      <c r="B29" s="5"/>
      <c r="C29" s="5"/>
      <c r="D29">
        <f>E28</f>
        <v>19.2292181061114</v>
      </c>
      <c r="E29">
        <v>75.007571946818402</v>
      </c>
      <c r="F29">
        <f t="shared" si="9"/>
        <v>0.43416865529613313</v>
      </c>
      <c r="G29">
        <f t="shared" si="10"/>
        <v>4.3309846937527059</v>
      </c>
      <c r="H29">
        <f t="shared" si="11"/>
        <v>3.8968160384565729</v>
      </c>
      <c r="I29">
        <f t="shared" ref="I29:J30" si="26">$B$28*(D29-$C$28*LN(ABS(D29+$C$28)))</f>
        <v>-8.4479935131197408</v>
      </c>
      <c r="J29">
        <f t="shared" si="26"/>
        <v>-4.5062636608747315</v>
      </c>
      <c r="K29">
        <f t="shared" si="24"/>
        <v>3.9417298522450093</v>
      </c>
      <c r="L29">
        <f t="shared" si="25"/>
        <v>4.4913813788436396E-2</v>
      </c>
      <c r="M29" s="5"/>
      <c r="N29" s="5"/>
    </row>
    <row r="30" spans="1:14" x14ac:dyDescent="0.2">
      <c r="A30" s="5"/>
      <c r="B30" s="5"/>
      <c r="C30" s="5"/>
      <c r="D30">
        <f>E29</f>
        <v>75.007571946818402</v>
      </c>
      <c r="E30">
        <v>100</v>
      </c>
      <c r="F30">
        <f t="shared" si="9"/>
        <v>4.3309846937527059</v>
      </c>
      <c r="G30">
        <f t="shared" si="10"/>
        <v>6.5169556204119905</v>
      </c>
      <c r="H30">
        <f t="shared" si="11"/>
        <v>2.1859709266592846</v>
      </c>
      <c r="I30">
        <f t="shared" si="26"/>
        <v>-4.5062636608747315</v>
      </c>
      <c r="J30">
        <f t="shared" si="26"/>
        <v>-2.3425668510449964</v>
      </c>
      <c r="K30">
        <f t="shared" si="24"/>
        <v>2.1636968098297351</v>
      </c>
      <c r="L30">
        <f t="shared" si="25"/>
        <v>2.2274116829549495E-2</v>
      </c>
      <c r="M30" s="5"/>
      <c r="N30" s="5"/>
    </row>
  </sheetData>
  <mergeCells count="41">
    <mergeCell ref="M28:N30"/>
    <mergeCell ref="M11:N12"/>
    <mergeCell ref="M13:N15"/>
    <mergeCell ref="L10:N10"/>
    <mergeCell ref="A9:N9"/>
    <mergeCell ref="M16:N18"/>
    <mergeCell ref="A22:A24"/>
    <mergeCell ref="A25:A27"/>
    <mergeCell ref="A11:A12"/>
    <mergeCell ref="A13:A15"/>
    <mergeCell ref="B11:B12"/>
    <mergeCell ref="C11:C12"/>
    <mergeCell ref="B13:B15"/>
    <mergeCell ref="C13:C15"/>
    <mergeCell ref="F10:H10"/>
    <mergeCell ref="I10:K10"/>
    <mergeCell ref="M19:N21"/>
    <mergeCell ref="M22:N24"/>
    <mergeCell ref="M25:N27"/>
    <mergeCell ref="A28:A30"/>
    <mergeCell ref="C16:C18"/>
    <mergeCell ref="B19:B21"/>
    <mergeCell ref="C19:C21"/>
    <mergeCell ref="B22:B24"/>
    <mergeCell ref="C22:C24"/>
    <mergeCell ref="B25:B27"/>
    <mergeCell ref="C25:C27"/>
    <mergeCell ref="B28:B30"/>
    <mergeCell ref="C28:C30"/>
    <mergeCell ref="B16:B18"/>
    <mergeCell ref="A16:A18"/>
    <mergeCell ref="A19:A21"/>
    <mergeCell ref="I6:I7"/>
    <mergeCell ref="N1:W1"/>
    <mergeCell ref="T2:U2"/>
    <mergeCell ref="V2:W2"/>
    <mergeCell ref="I2:I3"/>
    <mergeCell ref="I4:I5"/>
    <mergeCell ref="N2:O2"/>
    <mergeCell ref="P2:Q2"/>
    <mergeCell ref="R2:S2"/>
  </mergeCells>
  <conditionalFormatting sqref="M11:N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3</vt:i4>
      </vt:variant>
    </vt:vector>
  </HeadingPairs>
  <TitlesOfParts>
    <vt:vector size="4" baseType="lpstr">
      <vt:lpstr>Hoja1</vt:lpstr>
      <vt:lpstr>Michaelis-Menten lin.</vt:lpstr>
      <vt:lpstr>Michaelis-Menten log.</vt:lpstr>
      <vt:lpstr>Linéaire 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Sylvain-Rhéaume</dc:creator>
  <cp:lastModifiedBy>René Sylvain-Rhéaume</cp:lastModifiedBy>
  <dcterms:created xsi:type="dcterms:W3CDTF">2024-02-10T23:33:19Z</dcterms:created>
  <dcterms:modified xsi:type="dcterms:W3CDTF">2025-01-12T13:31:01Z</dcterms:modified>
</cp:coreProperties>
</file>
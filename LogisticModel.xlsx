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418D80A2-755D-1D49-9F73-65868174868A}" xr6:coauthVersionLast="47" xr6:coauthVersionMax="47" xr10:uidLastSave="{00000000-0000-0000-0000-000000000000}"/>
  <bookViews>
    <workbookView xWindow="0" yWindow="500" windowWidth="25600" windowHeight="14480" activeTab="2" xr2:uid="{EA72EE1C-EB9E-194F-A03F-497BA5E072C1}"/>
  </bookViews>
  <sheets>
    <sheet name="Biofermentation semaine 3 ex" sheetId="1" r:id="rId1"/>
    <sheet name="Bioferm. s. 3 exercice" sheetId="2" r:id="rId2"/>
    <sheet name="Biofermentation labo. 5 O2" sheetId="3" r:id="rId3"/>
    <sheet name="Bioferm. laboratoire 5 O2" sheetId="5" r:id="rId4"/>
    <sheet name="8F3_exer_w3" sheetId="6" r:id="rId5"/>
    <sheet name="8F3_labo5_o2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3" l="1"/>
  <c r="E18" i="3"/>
  <c r="E19" i="3"/>
  <c r="E20" i="3"/>
  <c r="C18" i="3"/>
  <c r="C19" i="3"/>
  <c r="C20" i="3"/>
  <c r="B20" i="3"/>
  <c r="B18" i="3"/>
  <c r="E15" i="3"/>
  <c r="E16" i="3"/>
  <c r="E17" i="3"/>
  <c r="B16" i="3"/>
  <c r="C16" i="3"/>
  <c r="B17" i="3"/>
  <c r="C17" i="3"/>
  <c r="C15" i="3"/>
  <c r="O3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9" i="1"/>
  <c r="K8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9" i="1"/>
  <c r="M10" i="1"/>
  <c r="M11" i="1"/>
  <c r="M12" i="1"/>
  <c r="M13" i="1"/>
  <c r="M14" i="1"/>
  <c r="M6" i="1"/>
  <c r="M7" i="1"/>
  <c r="M8" i="1"/>
  <c r="K7" i="1"/>
  <c r="L7" i="1"/>
  <c r="L8" i="1"/>
  <c r="L6" i="1"/>
  <c r="K6" i="1"/>
  <c r="G4" i="3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5" i="7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5" i="6"/>
  <c r="G3" i="3"/>
  <c r="F19" i="3" l="1"/>
  <c r="G10" i="3"/>
  <c r="G13" i="3"/>
  <c r="G6" i="3"/>
  <c r="G12" i="3"/>
  <c r="G9" i="3"/>
  <c r="G11" i="3"/>
  <c r="G7" i="3"/>
  <c r="G8" i="3"/>
</calcChain>
</file>

<file path=xl/sharedStrings.xml><?xml version="1.0" encoding="utf-8"?>
<sst xmlns="http://schemas.openxmlformats.org/spreadsheetml/2006/main" count="47" uniqueCount="21">
  <si>
    <t>Temps (h)</t>
  </si>
  <si>
    <t>k</t>
  </si>
  <si>
    <t>A</t>
  </si>
  <si>
    <t>n</t>
  </si>
  <si>
    <t>s</t>
  </si>
  <si>
    <t>Temps (min)</t>
  </si>
  <si>
    <t>Mesurée</t>
  </si>
  <si>
    <t>Interpolée 1A</t>
  </si>
  <si>
    <t>Interpolée 1B</t>
  </si>
  <si>
    <t>Interpolée 2A</t>
  </si>
  <si>
    <t>Mi-chemin A</t>
  </si>
  <si>
    <t>Mi-chemin B</t>
  </si>
  <si>
    <t>B</t>
  </si>
  <si>
    <t>µ</t>
  </si>
  <si>
    <t>x</t>
  </si>
  <si>
    <t>y</t>
  </si>
  <si>
    <t>y^</t>
  </si>
  <si>
    <t>y^'</t>
  </si>
  <si>
    <r>
      <t>s</t>
    </r>
    <r>
      <rPr>
        <b/>
        <vertAlign val="subscript"/>
        <sz val="12"/>
        <color theme="1"/>
        <rFont val="Aptos Narrow (Corps)"/>
      </rPr>
      <t>i</t>
    </r>
    <r>
      <rPr>
        <b/>
        <sz val="12"/>
        <color theme="1"/>
        <rFont val="Aptos Narrow"/>
        <scheme val="minor"/>
      </rPr>
      <t>, s</t>
    </r>
    <r>
      <rPr>
        <b/>
        <vertAlign val="subscript"/>
        <sz val="12"/>
        <color theme="1"/>
        <rFont val="Aptos Narrow (Corps)"/>
      </rPr>
      <t>i</t>
    </r>
    <r>
      <rPr>
        <b/>
        <sz val="12"/>
        <color theme="1"/>
        <rFont val="Aptos Narrow"/>
        <scheme val="minor"/>
      </rPr>
      <t>/s</t>
    </r>
  </si>
  <si>
    <t>Interpolée 2B</t>
  </si>
  <si>
    <t>A-b-k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</si>
</sst>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vertAlign val="subscript"/>
      <sz val="12"/>
      <color theme="1"/>
      <name val="Aptos Narrow (Corps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NumberFormat="1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4.xml"/><Relationship Id="rId5" Type="http://schemas.openxmlformats.org/officeDocument/2006/relationships/worksheet" Target="work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fr-CA" b="1"/>
              <a:t>Biomasse</a:t>
            </a:r>
            <a:r>
              <a:rPr lang="fr-CA" b="1" baseline="0"/>
              <a:t> de </a:t>
            </a:r>
            <a:r>
              <a:rPr lang="fr-CA" b="1" i="1" baseline="0"/>
              <a:t>Saccharomyces cerevisiae</a:t>
            </a:r>
            <a:r>
              <a:rPr lang="fr-CA" b="1" baseline="0"/>
              <a:t> pendant une fermentation de 28 h</a:t>
            </a:r>
            <a:endParaRPr lang="fr-C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'Biofermentation semaine 3 ex'!$B$5</c:f>
              <c:strCache>
                <c:ptCount val="1"/>
                <c:pt idx="0">
                  <c:v>Mesurée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'Biofermentation semaine 3 ex'!$A$6:$A$13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'Biofermentation semaine 3 ex'!$B$6:$B$13</c:f>
              <c:numCache>
                <c:formatCode>0.0</c:formatCode>
                <c:ptCount val="8"/>
                <c:pt idx="0" formatCode="General">
                  <c:v>1.5</c:v>
                </c:pt>
                <c:pt idx="1">
                  <c:v>2</c:v>
                </c:pt>
                <c:pt idx="2" formatCode="General">
                  <c:v>3.5</c:v>
                </c:pt>
                <c:pt idx="3" formatCode="General">
                  <c:v>6.2</c:v>
                </c:pt>
                <c:pt idx="4" formatCode="General">
                  <c:v>8.1999999999999993</c:v>
                </c:pt>
                <c:pt idx="5" formatCode="General">
                  <c:v>9.4</c:v>
                </c:pt>
                <c:pt idx="6" formatCode="General">
                  <c:v>9.8000000000000007</c:v>
                </c:pt>
                <c:pt idx="7" formatCode="General">
                  <c:v>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F-C14A-8E79-0D5BDBE92856}"/>
            </c:ext>
          </c:extLst>
        </c:ser>
        <c:ser>
          <c:idx val="1"/>
          <c:order val="1"/>
          <c:tx>
            <c:strRef>
              <c:f>'Biofermentation semaine 3 ex'!$C$5</c:f>
              <c:strCache>
                <c:ptCount val="1"/>
                <c:pt idx="0">
                  <c:v>Interpolée 1A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'Biofermentation semaine 3 ex'!$A$6:$A$13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'Biofermentation semaine 3 ex'!$C$6:$C$13</c:f>
              <c:numCache>
                <c:formatCode>General</c:formatCode>
                <c:ptCount val="8"/>
                <c:pt idx="0">
                  <c:v>1.51</c:v>
                </c:pt>
                <c:pt idx="1">
                  <c:v>1.67</c:v>
                </c:pt>
                <c:pt idx="2">
                  <c:v>2.67</c:v>
                </c:pt>
                <c:pt idx="3">
                  <c:v>6.51</c:v>
                </c:pt>
                <c:pt idx="4">
                  <c:v>8.8800000000000008</c:v>
                </c:pt>
                <c:pt idx="5">
                  <c:v>9.76</c:v>
                </c:pt>
                <c:pt idx="6">
                  <c:v>9.8800000000000008</c:v>
                </c:pt>
                <c:pt idx="7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CF-C14A-8E79-0D5BDBE92856}"/>
            </c:ext>
          </c:extLst>
        </c:ser>
        <c:ser>
          <c:idx val="2"/>
          <c:order val="2"/>
          <c:tx>
            <c:strRef>
              <c:f>'Biofermentation semaine 3 ex'!$D$5</c:f>
              <c:strCache>
                <c:ptCount val="1"/>
                <c:pt idx="0">
                  <c:v>Interpolée 1B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'Biofermentation semaine 3 ex'!$A$6:$A$13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'Biofermentation semaine 3 ex'!$D$6:$D$13</c:f>
              <c:numCache>
                <c:formatCode>General</c:formatCode>
                <c:ptCount val="8"/>
                <c:pt idx="0">
                  <c:v>1.5</c:v>
                </c:pt>
                <c:pt idx="1">
                  <c:v>1.66</c:v>
                </c:pt>
                <c:pt idx="2">
                  <c:v>2.75</c:v>
                </c:pt>
                <c:pt idx="3">
                  <c:v>6.5</c:v>
                </c:pt>
                <c:pt idx="4">
                  <c:v>8.8800000000000008</c:v>
                </c:pt>
                <c:pt idx="5">
                  <c:v>9.77</c:v>
                </c:pt>
                <c:pt idx="6">
                  <c:v>9.89</c:v>
                </c:pt>
                <c:pt idx="7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CF-C14A-8E79-0D5BDBE92856}"/>
            </c:ext>
          </c:extLst>
        </c:ser>
        <c:ser>
          <c:idx val="3"/>
          <c:order val="3"/>
          <c:tx>
            <c:strRef>
              <c:f>'Biofermentation semaine 3 ex'!$E$5</c:f>
              <c:strCache>
                <c:ptCount val="1"/>
                <c:pt idx="0">
                  <c:v>Interpolée 2A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'Biofermentation semaine 3 ex'!$A$6:$A$13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'Biofermentation semaine 3 ex'!$E$6:$E$13</c:f>
              <c:numCache>
                <c:formatCode>General</c:formatCode>
                <c:ptCount val="8"/>
                <c:pt idx="0">
                  <c:v>1.58</c:v>
                </c:pt>
                <c:pt idx="1">
                  <c:v>2.0099999999999998</c:v>
                </c:pt>
                <c:pt idx="2">
                  <c:v>3.39</c:v>
                </c:pt>
                <c:pt idx="3">
                  <c:v>6.23</c:v>
                </c:pt>
                <c:pt idx="4">
                  <c:v>8.1999999999999993</c:v>
                </c:pt>
                <c:pt idx="5">
                  <c:v>9.4499999999999993</c:v>
                </c:pt>
                <c:pt idx="6">
                  <c:v>9.7899999999999991</c:v>
                </c:pt>
                <c:pt idx="7">
                  <c:v>9.8800000000000008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4CF-C14A-8E79-0D5BDBE92856}"/>
            </c:ext>
          </c:extLst>
        </c:ser>
        <c:ser>
          <c:idx val="4"/>
          <c:order val="4"/>
          <c:tx>
            <c:strRef>
              <c:f>'Biofermentation semaine 3 ex'!$F$5</c:f>
              <c:strCache>
                <c:ptCount val="1"/>
                <c:pt idx="0">
                  <c:v>Interpolée 2B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'Biofermentation semaine 3 ex'!$A$6:$A$13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'Biofermentation semaine 3 ex'!$F$6:$F$13</c:f>
              <c:numCache>
                <c:formatCode>General</c:formatCode>
                <c:ptCount val="8"/>
                <c:pt idx="0">
                  <c:v>1.5</c:v>
                </c:pt>
                <c:pt idx="1">
                  <c:v>1.94</c:v>
                </c:pt>
                <c:pt idx="2">
                  <c:v>3.33</c:v>
                </c:pt>
                <c:pt idx="3">
                  <c:v>6.2</c:v>
                </c:pt>
                <c:pt idx="4">
                  <c:v>8.1999999999999993</c:v>
                </c:pt>
                <c:pt idx="5">
                  <c:v>9.4600000000000009</c:v>
                </c:pt>
                <c:pt idx="6">
                  <c:v>9.82</c:v>
                </c:pt>
                <c:pt idx="7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7-5D45-BE67-FB866E969299}"/>
            </c:ext>
          </c:extLst>
        </c:ser>
        <c:ser>
          <c:idx val="5"/>
          <c:order val="5"/>
          <c:tx>
            <c:strRef>
              <c:f>'Biofermentation semaine 3 ex'!$G$5</c:f>
              <c:strCache>
                <c:ptCount val="1"/>
                <c:pt idx="0">
                  <c:v>Mi-chemin 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'Biofermentation semaine 3 ex'!$A$6:$A$13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'Biofermentation semaine 3 ex'!$G$6:$G$13</c:f>
              <c:numCache>
                <c:formatCode>General</c:formatCode>
                <c:ptCount val="8"/>
                <c:pt idx="0">
                  <c:v>1.54</c:v>
                </c:pt>
                <c:pt idx="1">
                  <c:v>1.83</c:v>
                </c:pt>
                <c:pt idx="2">
                  <c:v>3.1</c:v>
                </c:pt>
                <c:pt idx="3">
                  <c:v>6.34</c:v>
                </c:pt>
                <c:pt idx="4">
                  <c:v>8.52</c:v>
                </c:pt>
                <c:pt idx="5">
                  <c:v>9.6199999999999992</c:v>
                </c:pt>
                <c:pt idx="6">
                  <c:v>9.85</c:v>
                </c:pt>
                <c:pt idx="7">
                  <c:v>9.89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7-5D45-BE67-FB866E969299}"/>
            </c:ext>
          </c:extLst>
        </c:ser>
        <c:ser>
          <c:idx val="6"/>
          <c:order val="6"/>
          <c:tx>
            <c:strRef>
              <c:f>'Biofermentation semaine 3 ex'!$H$5</c:f>
              <c:strCache>
                <c:ptCount val="1"/>
                <c:pt idx="0">
                  <c:v>Mi-chemin B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'Biofermentation semaine 3 ex'!$A$6:$A$13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'Biofermentation semaine 3 ex'!$H$6:$H$13</c:f>
              <c:numCache>
                <c:formatCode>General</c:formatCode>
                <c:ptCount val="8"/>
                <c:pt idx="0">
                  <c:v>1.5</c:v>
                </c:pt>
                <c:pt idx="1">
                  <c:v>1.79</c:v>
                </c:pt>
                <c:pt idx="2">
                  <c:v>3.07</c:v>
                </c:pt>
                <c:pt idx="3">
                  <c:v>6.33</c:v>
                </c:pt>
                <c:pt idx="4">
                  <c:v>8.52</c:v>
                </c:pt>
                <c:pt idx="5">
                  <c:v>9.6300000000000008</c:v>
                </c:pt>
                <c:pt idx="6">
                  <c:v>9.86</c:v>
                </c:pt>
                <c:pt idx="7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7-5D45-BE67-FB866E969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613200"/>
        <c:axId val="1065115344"/>
      </c:scatterChart>
      <c:valAx>
        <c:axId val="105161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fr-CA" sz="1200" b="1"/>
                  <a:t>Temps</a:t>
                </a:r>
                <a:r>
                  <a:rPr lang="fr-CA" sz="1200" b="1" baseline="0"/>
                  <a:t> (h)</a:t>
                </a:r>
                <a:endParaRPr lang="fr-CA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CA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1065115344"/>
        <c:crosses val="autoZero"/>
        <c:crossBetween val="midCat"/>
      </c:valAx>
      <c:valAx>
        <c:axId val="1065115344"/>
        <c:scaling>
          <c:orientation val="minMax"/>
          <c:max val="10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fr-CA" sz="1200" b="1"/>
                  <a:t>Biomasse</a:t>
                </a:r>
                <a:r>
                  <a:rPr lang="fr-CA" sz="1200" b="1" baseline="0"/>
                  <a:t> (g/L)</a:t>
                </a:r>
                <a:endParaRPr lang="fr-CA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CA"/>
            </a:p>
          </c:txPr>
        </c:title>
        <c:numFmt formatCode="#,##0.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105161320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r"/>
      <c:layout>
        <c:manualLayout>
          <c:xMode val="edge"/>
          <c:yMode val="edge"/>
          <c:x val="0.81809355147263862"/>
          <c:y val="0.73387038513376968"/>
          <c:w val="0.14741748215956713"/>
          <c:h val="0.1472510108508332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fr-CA" b="1"/>
              <a:t>Saturation</a:t>
            </a:r>
            <a:r>
              <a:rPr lang="fr-CA" b="1" baseline="0"/>
              <a:t> en oxygène après débranchement de l'alimentation en oxygène du bioréacteur de l'équipe 10</a:t>
            </a:r>
            <a:endParaRPr lang="fr-C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'Biofermentation labo. 5 O2'!$B$5</c:f>
              <c:strCache>
                <c:ptCount val="1"/>
                <c:pt idx="0">
                  <c:v>Mesurée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'Biofermentation labo. 5 O2'!$A$6:$A$13</c:f>
              <c:numCache>
                <c:formatCode>0.0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'Biofermentation labo. 5 O2'!$B$6:$B$13</c:f>
              <c:numCache>
                <c:formatCode>General</c:formatCode>
                <c:ptCount val="8"/>
                <c:pt idx="0">
                  <c:v>105.1</c:v>
                </c:pt>
                <c:pt idx="1">
                  <c:v>103.7</c:v>
                </c:pt>
                <c:pt idx="2">
                  <c:v>98.4</c:v>
                </c:pt>
                <c:pt idx="3">
                  <c:v>85.5</c:v>
                </c:pt>
                <c:pt idx="4">
                  <c:v>51.6</c:v>
                </c:pt>
                <c:pt idx="5" formatCode="0.0">
                  <c:v>1</c:v>
                </c:pt>
                <c:pt idx="6" formatCode="0.0">
                  <c:v>0.8</c:v>
                </c:pt>
                <c:pt idx="7" formatCode="0.0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2-F342-80B7-D0AA2F8B8A79}"/>
            </c:ext>
          </c:extLst>
        </c:ser>
        <c:ser>
          <c:idx val="1"/>
          <c:order val="1"/>
          <c:tx>
            <c:strRef>
              <c:f>'Biofermentation labo. 5 O2'!$C$5</c:f>
              <c:strCache>
                <c:ptCount val="1"/>
                <c:pt idx="0">
                  <c:v>Interpolée 1A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'Biofermentation labo. 5 O2'!$A$6:$A$13</c:f>
              <c:numCache>
                <c:formatCode>0.0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'Biofermentation labo. 5 O2'!$C$6:$C$13</c:f>
              <c:numCache>
                <c:formatCode>General</c:formatCode>
                <c:ptCount val="8"/>
                <c:pt idx="0">
                  <c:v>103.74</c:v>
                </c:pt>
                <c:pt idx="1">
                  <c:v>101.01</c:v>
                </c:pt>
                <c:pt idx="2">
                  <c:v>93.43</c:v>
                </c:pt>
                <c:pt idx="3">
                  <c:v>75.86</c:v>
                </c:pt>
                <c:pt idx="4">
                  <c:v>48.05</c:v>
                </c:pt>
                <c:pt idx="5">
                  <c:v>22.65</c:v>
                </c:pt>
                <c:pt idx="6">
                  <c:v>8.76</c:v>
                </c:pt>
                <c:pt idx="7">
                  <c:v>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02-F342-80B7-D0AA2F8B8A79}"/>
            </c:ext>
          </c:extLst>
        </c:ser>
        <c:ser>
          <c:idx val="2"/>
          <c:order val="2"/>
          <c:tx>
            <c:strRef>
              <c:f>'Biofermentation labo. 5 O2'!$D$5</c:f>
              <c:strCache>
                <c:ptCount val="1"/>
                <c:pt idx="0">
                  <c:v>Interpolée 1B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'Biofermentation labo. 5 O2'!$A$6:$A$13</c:f>
              <c:numCache>
                <c:formatCode>0.0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'Biofermentation labo. 5 O2'!$D$6:$D$13</c:f>
              <c:numCache>
                <c:formatCode>General</c:formatCode>
                <c:ptCount val="8"/>
                <c:pt idx="0">
                  <c:v>105.1</c:v>
                </c:pt>
                <c:pt idx="1">
                  <c:v>102.26</c:v>
                </c:pt>
                <c:pt idx="2">
                  <c:v>94.35</c:v>
                </c:pt>
                <c:pt idx="3">
                  <c:v>76.040000000000006</c:v>
                </c:pt>
                <c:pt idx="4">
                  <c:v>47.05</c:v>
                </c:pt>
                <c:pt idx="5">
                  <c:v>20.58</c:v>
                </c:pt>
                <c:pt idx="6">
                  <c:v>6.1</c:v>
                </c:pt>
                <c:pt idx="7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02-F342-80B7-D0AA2F8B8A79}"/>
            </c:ext>
          </c:extLst>
        </c:ser>
        <c:ser>
          <c:idx val="3"/>
          <c:order val="3"/>
          <c:tx>
            <c:strRef>
              <c:f>'Biofermentation labo. 5 O2'!$E$5</c:f>
              <c:strCache>
                <c:ptCount val="1"/>
                <c:pt idx="0">
                  <c:v>Interpolée 2A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'Biofermentation labo. 5 O2'!$A$6:$A$13</c:f>
              <c:numCache>
                <c:formatCode>0.0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'Biofermentation labo. 5 O2'!$E$6:$E$13</c:f>
              <c:numCache>
                <c:formatCode>General</c:formatCode>
                <c:ptCount val="8"/>
                <c:pt idx="0">
                  <c:v>105.04</c:v>
                </c:pt>
                <c:pt idx="1">
                  <c:v>104.54</c:v>
                </c:pt>
                <c:pt idx="2">
                  <c:v>100.17</c:v>
                </c:pt>
                <c:pt idx="3">
                  <c:v>72.349999999999994</c:v>
                </c:pt>
                <c:pt idx="4">
                  <c:v>20.51</c:v>
                </c:pt>
                <c:pt idx="5">
                  <c:v>2.95</c:v>
                </c:pt>
                <c:pt idx="6">
                  <c:v>0.59</c:v>
                </c:pt>
                <c:pt idx="7">
                  <c:v>0.33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02-F342-80B7-D0AA2F8B8A79}"/>
            </c:ext>
          </c:extLst>
        </c:ser>
        <c:ser>
          <c:idx val="4"/>
          <c:order val="4"/>
          <c:tx>
            <c:strRef>
              <c:f>'Biofermentation labo. 5 O2'!$F$5</c:f>
              <c:strCache>
                <c:ptCount val="1"/>
                <c:pt idx="0">
                  <c:v>Interpolée 2B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'Biofermentation labo. 5 O2'!$A$6:$A$13</c:f>
              <c:numCache>
                <c:formatCode>0.0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'Biofermentation labo. 5 O2'!$F$6:$F$13</c:f>
              <c:numCache>
                <c:formatCode>General</c:formatCode>
                <c:ptCount val="8"/>
                <c:pt idx="0">
                  <c:v>105.1</c:v>
                </c:pt>
                <c:pt idx="1">
                  <c:v>104.6</c:v>
                </c:pt>
                <c:pt idx="2">
                  <c:v>100.23</c:v>
                </c:pt>
                <c:pt idx="3">
                  <c:v>72.38</c:v>
                </c:pt>
                <c:pt idx="4">
                  <c:v>20.5</c:v>
                </c:pt>
                <c:pt idx="5">
                  <c:v>2.92</c:v>
                </c:pt>
                <c:pt idx="6">
                  <c:v>0.56000000000000005</c:v>
                </c:pt>
                <c:pt idx="7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67-1444-9E60-81CE2F776799}"/>
            </c:ext>
          </c:extLst>
        </c:ser>
        <c:ser>
          <c:idx val="5"/>
          <c:order val="5"/>
          <c:tx>
            <c:strRef>
              <c:f>'Biofermentation labo. 5 O2'!$G$5</c:f>
              <c:strCache>
                <c:ptCount val="1"/>
                <c:pt idx="0">
                  <c:v>Mi-chemin 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'Biofermentation labo. 5 O2'!$A$6:$A$13</c:f>
              <c:numCache>
                <c:formatCode>0.0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'Biofermentation labo. 5 O2'!$G$6:$G$13</c:f>
              <c:numCache>
                <c:formatCode>0.00</c:formatCode>
                <c:ptCount val="8"/>
                <c:pt idx="0">
                  <c:v>104.61981689557548</c:v>
                </c:pt>
                <c:pt idx="1">
                  <c:v>102.99154357040497</c:v>
                </c:pt>
                <c:pt idx="2">
                  <c:v>96.307265875531698</c:v>
                </c:pt>
                <c:pt idx="3">
                  <c:v>74.704517883544511</c:v>
                </c:pt>
                <c:pt idx="4">
                  <c:v>37.43395317425162</c:v>
                </c:pt>
                <c:pt idx="5">
                  <c:v>11.781020001246118</c:v>
                </c:pt>
                <c:pt idx="6">
                  <c:v>3.112972801378449</c:v>
                </c:pt>
                <c:pt idx="7">
                  <c:v>0.94404294011634238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02-F342-80B7-D0AA2F8B8A79}"/>
            </c:ext>
          </c:extLst>
        </c:ser>
        <c:ser>
          <c:idx val="6"/>
          <c:order val="6"/>
          <c:tx>
            <c:strRef>
              <c:f>'Biofermentation labo. 5 O2'!$H$5</c:f>
              <c:strCache>
                <c:ptCount val="1"/>
                <c:pt idx="0">
                  <c:v>Mi-chemin B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'Biofermentation labo. 5 O2'!$A$6:$A$13</c:f>
              <c:numCache>
                <c:formatCode>0.0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'Biofermentation labo. 5 O2'!$H$6:$H$13</c:f>
              <c:numCache>
                <c:formatCode>General</c:formatCode>
                <c:ptCount val="8"/>
                <c:pt idx="0">
                  <c:v>105.1</c:v>
                </c:pt>
                <c:pt idx="1">
                  <c:v>103.45</c:v>
                </c:pt>
                <c:pt idx="2">
                  <c:v>96.7</c:v>
                </c:pt>
                <c:pt idx="3">
                  <c:v>74.86</c:v>
                </c:pt>
                <c:pt idx="4">
                  <c:v>37.19</c:v>
                </c:pt>
                <c:pt idx="5">
                  <c:v>11.23</c:v>
                </c:pt>
                <c:pt idx="6">
                  <c:v>2.4900000000000002</c:v>
                </c:pt>
                <c:pt idx="7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67-1444-9E60-81CE2F776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491488"/>
        <c:axId val="742544144"/>
      </c:scatterChart>
      <c:valAx>
        <c:axId val="109249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fr-CA" sz="1200" b="1"/>
                  <a:t>Temps</a:t>
                </a:r>
                <a:r>
                  <a:rPr lang="fr-CA" sz="1200" b="1" baseline="0"/>
                  <a:t>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742544144"/>
        <c:crosses val="autoZero"/>
        <c:crossBetween val="midCat"/>
      </c:valAx>
      <c:valAx>
        <c:axId val="74254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fr-CA" sz="1200" b="1"/>
                  <a:t>Saturation en oxygène</a:t>
                </a:r>
                <a:r>
                  <a:rPr lang="fr-CA" sz="1200" b="1" baseline="0"/>
                  <a:t> (%)</a:t>
                </a:r>
                <a:endParaRPr lang="fr-CA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CA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10924914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r"/>
      <c:layout>
        <c:manualLayout>
          <c:xMode val="edge"/>
          <c:yMode val="edge"/>
          <c:x val="0.75469784719754351"/>
          <c:y val="0.11532956042961007"/>
          <c:w val="0.21538624616180663"/>
          <c:h val="0.2317041673436579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'8F3_exer_w3'!$B$6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'8F3_exer_w3'!$A$7:$A$14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'8F3_exer_w3'!$B$7:$B$14</c:f>
              <c:numCache>
                <c:formatCode>General</c:formatCode>
                <c:ptCount val="8"/>
                <c:pt idx="0">
                  <c:v>1.5</c:v>
                </c:pt>
                <c:pt idx="1">
                  <c:v>2</c:v>
                </c:pt>
                <c:pt idx="2">
                  <c:v>3.5</c:v>
                </c:pt>
                <c:pt idx="3">
                  <c:v>6.2</c:v>
                </c:pt>
                <c:pt idx="4">
                  <c:v>8.1999999999999993</c:v>
                </c:pt>
                <c:pt idx="5">
                  <c:v>9.4</c:v>
                </c:pt>
                <c:pt idx="6">
                  <c:v>9.8000000000000007</c:v>
                </c:pt>
                <c:pt idx="7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5B-BD40-8D56-BF8480EB7081}"/>
            </c:ext>
          </c:extLst>
        </c:ser>
        <c:ser>
          <c:idx val="1"/>
          <c:order val="1"/>
          <c:tx>
            <c:strRef>
              <c:f>'8F3_exer_w3'!$C$6</c:f>
              <c:strCache>
                <c:ptCount val="1"/>
                <c:pt idx="0">
                  <c:v>y^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'8F3_exer_w3'!$A$7:$A$14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'8F3_exer_w3'!$C$7:$C$14</c:f>
              <c:numCache>
                <c:formatCode>General</c:formatCode>
                <c:ptCount val="8"/>
                <c:pt idx="0">
                  <c:v>1.5123225937450893</c:v>
                </c:pt>
                <c:pt idx="1">
                  <c:v>1.6724969976216613</c:v>
                </c:pt>
                <c:pt idx="2">
                  <c:v>2.7560682823620697</c:v>
                </c:pt>
                <c:pt idx="3">
                  <c:v>6.5053452039466082</c:v>
                </c:pt>
                <c:pt idx="4">
                  <c:v>8.8838196032012675</c:v>
                </c:pt>
                <c:pt idx="5">
                  <c:v>9.7643757571501517</c:v>
                </c:pt>
                <c:pt idx="6">
                  <c:v>9.8835942888271155</c:v>
                </c:pt>
                <c:pt idx="7">
                  <c:v>9.8980403419246183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15B-BD40-8D56-BF8480EB7081}"/>
            </c:ext>
          </c:extLst>
        </c:ser>
        <c:ser>
          <c:idx val="2"/>
          <c:order val="2"/>
          <c:tx>
            <c:strRef>
              <c:f>'8F3_exer_w3'!$D$6</c:f>
              <c:strCache>
                <c:ptCount val="1"/>
                <c:pt idx="0">
                  <c:v>y^'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'8F3_exer_w3'!$A$7:$A$14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</c:numCache>
            </c:numRef>
          </c:xVal>
          <c:yVal>
            <c:numRef>
              <c:f>'8F3_exer_w3'!$D$7:$D$14</c:f>
              <c:numCache>
                <c:formatCode>General</c:formatCode>
                <c:ptCount val="8"/>
                <c:pt idx="0">
                  <c:v>1.4999999999999922</c:v>
                </c:pt>
                <c:pt idx="1">
                  <c:v>1.6604472071404059</c:v>
                </c:pt>
                <c:pt idx="2">
                  <c:v>2.7458639913859049</c:v>
                </c:pt>
                <c:pt idx="3">
                  <c:v>6.5015265461084493</c:v>
                </c:pt>
                <c:pt idx="4">
                  <c:v>8.8840518771186012</c:v>
                </c:pt>
                <c:pt idx="5">
                  <c:v>9.7661077625288115</c:v>
                </c:pt>
                <c:pt idx="6">
                  <c:v>9.8855293429062225</c:v>
                </c:pt>
                <c:pt idx="7">
                  <c:v>9.8999999999999897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5B-BD40-8D56-BF8480EB7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262079"/>
        <c:axId val="2104263791"/>
      </c:scatterChart>
      <c:valAx>
        <c:axId val="2104262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A"/>
          </a:p>
        </c:txPr>
        <c:crossAx val="2104263791"/>
        <c:crosses val="autoZero"/>
        <c:crossBetween val="midCat"/>
      </c:valAx>
      <c:valAx>
        <c:axId val="210426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A"/>
          </a:p>
        </c:txPr>
        <c:crossAx val="2104262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'8F3_labo5_o2'!$B$6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'8F3_labo5_o2'!$A$7:$A$14</c:f>
              <c:numCache>
                <c:formatCode>General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'8F3_labo5_o2'!$B$7:$B$14</c:f>
              <c:numCache>
                <c:formatCode>General</c:formatCode>
                <c:ptCount val="8"/>
                <c:pt idx="0">
                  <c:v>105.1</c:v>
                </c:pt>
                <c:pt idx="1">
                  <c:v>103.7</c:v>
                </c:pt>
                <c:pt idx="2">
                  <c:v>98.4</c:v>
                </c:pt>
                <c:pt idx="3">
                  <c:v>85.5</c:v>
                </c:pt>
                <c:pt idx="4">
                  <c:v>51.6</c:v>
                </c:pt>
                <c:pt idx="5">
                  <c:v>1</c:v>
                </c:pt>
                <c:pt idx="6">
                  <c:v>0.8</c:v>
                </c:pt>
                <c:pt idx="7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B0-5C45-BCAF-BB0488EB95CB}"/>
            </c:ext>
          </c:extLst>
        </c:ser>
        <c:ser>
          <c:idx val="1"/>
          <c:order val="1"/>
          <c:tx>
            <c:strRef>
              <c:f>'8F3_labo5_o2'!$C$6</c:f>
              <c:strCache>
                <c:ptCount val="1"/>
                <c:pt idx="0">
                  <c:v>y^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'8F3_labo5_o2'!$A$7:$A$14</c:f>
              <c:numCache>
                <c:formatCode>General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'8F3_labo5_o2'!$C$7:$C$14</c:f>
              <c:numCache>
                <c:formatCode>General</c:formatCode>
                <c:ptCount val="8"/>
                <c:pt idx="0">
                  <c:v>103.73943847719816</c:v>
                </c:pt>
                <c:pt idx="1">
                  <c:v>101.01058733442666</c:v>
                </c:pt>
                <c:pt idx="2">
                  <c:v>93.426218607705962</c:v>
                </c:pt>
                <c:pt idx="3">
                  <c:v>75.859614230350189</c:v>
                </c:pt>
                <c:pt idx="4">
                  <c:v>48.052102529360404</c:v>
                </c:pt>
                <c:pt idx="5">
                  <c:v>22.654543434140322</c:v>
                </c:pt>
                <c:pt idx="6">
                  <c:v>8.7614609499045759</c:v>
                </c:pt>
                <c:pt idx="7">
                  <c:v>3.199141176011191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B0-5C45-BCAF-BB0488EB95CB}"/>
            </c:ext>
          </c:extLst>
        </c:ser>
        <c:ser>
          <c:idx val="2"/>
          <c:order val="2"/>
          <c:tx>
            <c:strRef>
              <c:f>'8F3_labo5_o2'!$D$6</c:f>
              <c:strCache>
                <c:ptCount val="1"/>
                <c:pt idx="0">
                  <c:v>y^'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'8F3_labo5_o2'!$A$7:$A$14</c:f>
              <c:numCache>
                <c:formatCode>General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</c:numCache>
            </c:numRef>
          </c:xVal>
          <c:yVal>
            <c:numRef>
              <c:f>'8F3_labo5_o2'!$D$7:$D$14</c:f>
              <c:numCache>
                <c:formatCode>General</c:formatCode>
                <c:ptCount val="8"/>
                <c:pt idx="0">
                  <c:v>104.78728956603497</c:v>
                </c:pt>
                <c:pt idx="1">
                  <c:v>101.94282214909731</c:v>
                </c:pt>
                <c:pt idx="2">
                  <c:v>94.037118029492092</c:v>
                </c:pt>
                <c:pt idx="3">
                  <c:v>75.726249769058299</c:v>
                </c:pt>
                <c:pt idx="4">
                  <c:v>46.740586264069663</c:v>
                </c:pt>
                <c:pt idx="5">
                  <c:v>20.266980509696833</c:v>
                </c:pt>
                <c:pt idx="6">
                  <c:v>5.7852743338517207</c:v>
                </c:pt>
                <c:pt idx="7">
                  <c:v>-1.271043396478877E-2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B0-5C45-BCAF-BB0488EB9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262079"/>
        <c:axId val="2104263791"/>
      </c:scatterChart>
      <c:valAx>
        <c:axId val="2104262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A"/>
          </a:p>
        </c:txPr>
        <c:crossAx val="2104263791"/>
        <c:crosses val="autoZero"/>
        <c:crossBetween val="midCat"/>
      </c:valAx>
      <c:valAx>
        <c:axId val="210426379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A"/>
          </a:p>
        </c:txPr>
        <c:crossAx val="2104262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0719609-9BD5-474A-AB6E-7E8623842DD5}">
  <sheetPr/>
  <sheetViews>
    <sheetView zoomScale="1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520CA24-1F12-4744-9527-3DFE5FA29C7C}">
  <sheetPr/>
  <sheetViews>
    <sheetView zoomScale="40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9461" cy="62815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4D176B8-CB98-CF54-E83F-BFC6A438A48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9769" cy="628393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A6503F8-355F-96AC-922B-47BF35B28B4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53051</xdr:colOff>
      <xdr:row>0</xdr:row>
      <xdr:rowOff>27007</xdr:rowOff>
    </xdr:from>
    <xdr:to>
      <xdr:col>11</xdr:col>
      <xdr:colOff>803797</xdr:colOff>
      <xdr:row>17</xdr:row>
      <xdr:rowOff>192911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9F30CB-2EA5-FA4D-9488-DD6F46F624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53051</xdr:colOff>
      <xdr:row>0</xdr:row>
      <xdr:rowOff>27007</xdr:rowOff>
    </xdr:from>
    <xdr:to>
      <xdr:col>11</xdr:col>
      <xdr:colOff>803797</xdr:colOff>
      <xdr:row>17</xdr:row>
      <xdr:rowOff>192911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81489D-7AC2-A84E-8163-D93D3D0D56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A3DA8-A952-DB4B-A693-8E3526DC5924}">
  <dimension ref="A1:O34"/>
  <sheetViews>
    <sheetView zoomScale="130" zoomScaleNormal="130" workbookViewId="0">
      <selection activeCell="O3" sqref="O3"/>
    </sheetView>
  </sheetViews>
  <sheetFormatPr baseColWidth="10" defaultRowHeight="16" x14ac:dyDescent="0.2"/>
  <cols>
    <col min="1" max="1" width="9" bestFit="1" customWidth="1"/>
    <col min="2" max="2" width="8" bestFit="1" customWidth="1"/>
    <col min="3" max="5" width="11.83203125" bestFit="1" customWidth="1"/>
    <col min="6" max="6" width="11.83203125" customWidth="1"/>
    <col min="7" max="8" width="11.5" bestFit="1" customWidth="1"/>
    <col min="10" max="12" width="12.1640625" bestFit="1" customWidth="1"/>
    <col min="13" max="13" width="12.83203125" bestFit="1" customWidth="1"/>
  </cols>
  <sheetData>
    <row r="1" spans="1:15" x14ac:dyDescent="0.2">
      <c r="B1" s="1" t="s">
        <v>12</v>
      </c>
      <c r="C1">
        <v>1.5</v>
      </c>
      <c r="E1">
        <v>1.5</v>
      </c>
      <c r="L1">
        <v>1.5</v>
      </c>
      <c r="M1">
        <v>1.5</v>
      </c>
    </row>
    <row r="2" spans="1:15" x14ac:dyDescent="0.2">
      <c r="B2" s="1" t="s">
        <v>2</v>
      </c>
      <c r="C2">
        <v>8.4</v>
      </c>
      <c r="E2">
        <v>8.4</v>
      </c>
      <c r="L2">
        <v>8.4</v>
      </c>
      <c r="M2">
        <v>8.4</v>
      </c>
    </row>
    <row r="3" spans="1:15" x14ac:dyDescent="0.2">
      <c r="B3" s="1" t="s">
        <v>13</v>
      </c>
      <c r="L3">
        <v>12.269617706237399</v>
      </c>
      <c r="M3">
        <v>12.3246333771056</v>
      </c>
      <c r="N3" t="s">
        <v>20</v>
      </c>
      <c r="O3">
        <f>M2-K6-M1</f>
        <v>5.4</v>
      </c>
    </row>
    <row r="4" spans="1:15" x14ac:dyDescent="0.2">
      <c r="B4" s="1" t="s">
        <v>4</v>
      </c>
      <c r="L4">
        <v>1.8809533698123699</v>
      </c>
      <c r="M4">
        <v>2.68210649695129</v>
      </c>
    </row>
    <row r="5" spans="1:15" x14ac:dyDescent="0.2">
      <c r="A5" s="2" t="s">
        <v>0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19</v>
      </c>
      <c r="G5" s="2" t="s">
        <v>10</v>
      </c>
      <c r="H5" s="2" t="s">
        <v>11</v>
      </c>
      <c r="J5" s="2" t="s">
        <v>0</v>
      </c>
      <c r="K5" s="2" t="s">
        <v>6</v>
      </c>
      <c r="L5" s="2" t="s">
        <v>7</v>
      </c>
      <c r="M5" s="2" t="s">
        <v>9</v>
      </c>
    </row>
    <row r="6" spans="1:15" x14ac:dyDescent="0.2">
      <c r="A6" s="2">
        <v>0</v>
      </c>
      <c r="B6" s="2">
        <v>1.5</v>
      </c>
      <c r="C6" s="2">
        <v>1.51</v>
      </c>
      <c r="D6" s="2">
        <v>1.5</v>
      </c>
      <c r="E6" s="2">
        <v>1.58</v>
      </c>
      <c r="F6" s="2">
        <v>1.5</v>
      </c>
      <c r="G6" s="2">
        <v>1.54</v>
      </c>
      <c r="H6" s="2">
        <v>1.5</v>
      </c>
      <c r="J6" s="2">
        <v>0</v>
      </c>
      <c r="K6" s="10">
        <f>B6</f>
        <v>1.5</v>
      </c>
      <c r="L6" s="10">
        <f>L$1+L$2*(1/(1+EXP(($J6-L$3)/(-1*L$4))))</f>
        <v>1.5123225937450893</v>
      </c>
      <c r="M6" s="10">
        <f>M$1+M$2*(1/(1+EXP(($J6-M$3)/(-1*M$4))))</f>
        <v>1.5839989900710201</v>
      </c>
    </row>
    <row r="7" spans="1:15" x14ac:dyDescent="0.2">
      <c r="A7" s="2">
        <v>5</v>
      </c>
      <c r="B7" s="3">
        <v>2</v>
      </c>
      <c r="C7" s="2">
        <v>1.67</v>
      </c>
      <c r="D7" s="2">
        <v>1.66</v>
      </c>
      <c r="E7" s="2">
        <v>2.0099999999999998</v>
      </c>
      <c r="F7" s="2">
        <v>1.94</v>
      </c>
      <c r="G7" s="2">
        <v>1.83</v>
      </c>
      <c r="H7" s="2">
        <v>1.79</v>
      </c>
      <c r="J7" s="2">
        <v>0.13218298714353499</v>
      </c>
      <c r="K7" s="10">
        <f>1.5+0.1*J7</f>
        <v>1.5132182987143534</v>
      </c>
      <c r="L7" s="10">
        <f t="shared" ref="L7:M22" si="0">L$1+L$2*(1/(1+EXP(($J7-L$3)/(-1*L$4))))</f>
        <v>1.5132182987143532</v>
      </c>
      <c r="M7" s="10">
        <f t="shared" si="0"/>
        <v>1.5881978868121776</v>
      </c>
    </row>
    <row r="8" spans="1:15" x14ac:dyDescent="0.2">
      <c r="A8" s="2">
        <v>9</v>
      </c>
      <c r="B8" s="2">
        <v>3.5</v>
      </c>
      <c r="C8" s="2">
        <v>2.67</v>
      </c>
      <c r="D8" s="2">
        <v>2.75</v>
      </c>
      <c r="E8" s="2">
        <v>3.39</v>
      </c>
      <c r="F8" s="2">
        <v>3.33</v>
      </c>
      <c r="G8" s="2">
        <v>3.1</v>
      </c>
      <c r="H8" s="2">
        <v>3.07</v>
      </c>
      <c r="J8" s="2">
        <v>5</v>
      </c>
      <c r="K8" s="11">
        <f>B7</f>
        <v>2</v>
      </c>
      <c r="L8" s="10">
        <f t="shared" si="0"/>
        <v>1.6724969976216613</v>
      </c>
      <c r="M8" s="10">
        <f t="shared" si="0"/>
        <v>2.0138530442580507</v>
      </c>
    </row>
    <row r="9" spans="1:15" x14ac:dyDescent="0.2">
      <c r="A9" s="2">
        <v>13</v>
      </c>
      <c r="B9" s="2">
        <v>6.2</v>
      </c>
      <c r="C9" s="2">
        <v>6.51</v>
      </c>
      <c r="D9" s="2">
        <v>6.5</v>
      </c>
      <c r="E9" s="2">
        <v>6.23</v>
      </c>
      <c r="F9" s="2">
        <v>6.2</v>
      </c>
      <c r="G9" s="2">
        <v>6.34</v>
      </c>
      <c r="H9" s="2">
        <v>6.33</v>
      </c>
      <c r="J9" s="2">
        <v>0</v>
      </c>
      <c r="K9" s="12">
        <f>1.5+0.1*J9</f>
        <v>1.5</v>
      </c>
      <c r="M9" s="10">
        <f t="shared" si="0"/>
        <v>1.5839989900710201</v>
      </c>
    </row>
    <row r="10" spans="1:15" x14ac:dyDescent="0.2">
      <c r="A10" s="2">
        <v>16</v>
      </c>
      <c r="B10" s="2">
        <v>8.1999999999999993</v>
      </c>
      <c r="C10" s="2">
        <v>8.8800000000000008</v>
      </c>
      <c r="D10" s="2">
        <v>8.8800000000000008</v>
      </c>
      <c r="E10" s="2">
        <v>8.1999999999999993</v>
      </c>
      <c r="F10" s="2">
        <v>8.1999999999999993</v>
      </c>
      <c r="G10" s="2">
        <v>8.52</v>
      </c>
      <c r="H10" s="2">
        <v>8.52</v>
      </c>
      <c r="J10" s="2">
        <v>0.2</v>
      </c>
      <c r="K10" s="12">
        <f t="shared" ref="K10:K34" si="1">1.5+0.1*J10</f>
        <v>1.52</v>
      </c>
      <c r="M10" s="10">
        <f t="shared" si="0"/>
        <v>1.5904320871158724</v>
      </c>
    </row>
    <row r="11" spans="1:15" x14ac:dyDescent="0.2">
      <c r="A11" s="2">
        <v>20</v>
      </c>
      <c r="B11" s="2">
        <v>9.4</v>
      </c>
      <c r="C11" s="2">
        <v>9.76</v>
      </c>
      <c r="D11" s="2">
        <v>9.77</v>
      </c>
      <c r="E11" s="2">
        <v>9.4499999999999993</v>
      </c>
      <c r="F11" s="2">
        <v>9.4600000000000009</v>
      </c>
      <c r="G11" s="2">
        <v>9.6199999999999992</v>
      </c>
      <c r="H11" s="2">
        <v>9.6300000000000008</v>
      </c>
      <c r="J11" s="2">
        <v>0.4</v>
      </c>
      <c r="K11" s="12">
        <f t="shared" si="1"/>
        <v>1.54</v>
      </c>
      <c r="M11" s="10">
        <f t="shared" si="0"/>
        <v>1.5973520979079312</v>
      </c>
    </row>
    <row r="12" spans="1:15" x14ac:dyDescent="0.2">
      <c r="A12" s="2">
        <v>24</v>
      </c>
      <c r="B12" s="2">
        <v>9.8000000000000007</v>
      </c>
      <c r="C12" s="2">
        <v>9.8800000000000008</v>
      </c>
      <c r="D12" s="2">
        <v>9.89</v>
      </c>
      <c r="E12" s="2">
        <v>9.7899999999999991</v>
      </c>
      <c r="F12" s="2">
        <v>9.82</v>
      </c>
      <c r="G12" s="2">
        <v>9.85</v>
      </c>
      <c r="H12" s="2">
        <v>9.86</v>
      </c>
      <c r="J12" s="2">
        <v>0.6</v>
      </c>
      <c r="K12" s="12">
        <f t="shared" si="1"/>
        <v>1.56</v>
      </c>
      <c r="M12" s="10">
        <f t="shared" si="0"/>
        <v>1.6047949611111947</v>
      </c>
    </row>
    <row r="13" spans="1:15" x14ac:dyDescent="0.2">
      <c r="A13" s="2">
        <v>28</v>
      </c>
      <c r="B13" s="2">
        <v>9.9</v>
      </c>
      <c r="C13" s="2">
        <v>9.9</v>
      </c>
      <c r="D13" s="2">
        <v>9.9</v>
      </c>
      <c r="E13" s="2">
        <v>9.8800000000000008</v>
      </c>
      <c r="F13" s="2">
        <v>9.9</v>
      </c>
      <c r="G13" s="2">
        <v>9.89</v>
      </c>
      <c r="H13" s="2">
        <v>9.9</v>
      </c>
      <c r="J13" s="2">
        <v>0.8</v>
      </c>
      <c r="K13" s="12">
        <f t="shared" si="1"/>
        <v>1.58</v>
      </c>
      <c r="M13" s="10">
        <f t="shared" si="0"/>
        <v>1.6127991229945868</v>
      </c>
    </row>
    <row r="14" spans="1:15" x14ac:dyDescent="0.2">
      <c r="J14" s="2">
        <v>1</v>
      </c>
      <c r="K14" s="12">
        <f t="shared" si="1"/>
        <v>1.6</v>
      </c>
      <c r="M14" s="10">
        <f t="shared" si="0"/>
        <v>1.6214056893310302</v>
      </c>
    </row>
    <row r="15" spans="1:15" x14ac:dyDescent="0.2">
      <c r="J15" s="2">
        <v>1.2</v>
      </c>
      <c r="K15" s="12">
        <f t="shared" si="1"/>
        <v>1.62</v>
      </c>
      <c r="M15" s="10">
        <f t="shared" si="0"/>
        <v>1.6306585827354179</v>
      </c>
    </row>
    <row r="16" spans="1:15" x14ac:dyDescent="0.2">
      <c r="J16" s="2">
        <v>1.4</v>
      </c>
      <c r="K16" s="12">
        <f t="shared" si="1"/>
        <v>1.64</v>
      </c>
      <c r="M16" s="10">
        <f t="shared" si="0"/>
        <v>1.6406047049588284</v>
      </c>
    </row>
    <row r="17" spans="10:13" x14ac:dyDescent="0.2">
      <c r="J17" s="2">
        <v>1.6</v>
      </c>
      <c r="K17" s="12">
        <f t="shared" si="1"/>
        <v>1.6600000000000001</v>
      </c>
      <c r="M17" s="10">
        <f t="shared" si="0"/>
        <v>1.6512941035000683</v>
      </c>
    </row>
    <row r="18" spans="10:13" x14ac:dyDescent="0.2">
      <c r="J18" s="2">
        <v>1.8</v>
      </c>
      <c r="K18" s="12">
        <f t="shared" si="1"/>
        <v>1.68</v>
      </c>
      <c r="M18" s="10">
        <f t="shared" si="0"/>
        <v>1.6627801417142061</v>
      </c>
    </row>
    <row r="19" spans="10:13" x14ac:dyDescent="0.2">
      <c r="J19" s="2">
        <v>2</v>
      </c>
      <c r="K19" s="12">
        <f t="shared" si="1"/>
        <v>1.7</v>
      </c>
      <c r="M19" s="10">
        <f t="shared" si="0"/>
        <v>1.6751196713883938</v>
      </c>
    </row>
    <row r="20" spans="10:13" x14ac:dyDescent="0.2">
      <c r="J20" s="2">
        <v>2.2000000000000002</v>
      </c>
      <c r="K20" s="12">
        <f t="shared" si="1"/>
        <v>1.72</v>
      </c>
      <c r="M20" s="10">
        <f t="shared" si="0"/>
        <v>1.6883732065151926</v>
      </c>
    </row>
    <row r="21" spans="10:13" x14ac:dyDescent="0.2">
      <c r="J21" s="2">
        <v>2.4</v>
      </c>
      <c r="K21" s="12">
        <f t="shared" si="1"/>
        <v>1.74</v>
      </c>
      <c r="M21" s="10">
        <f t="shared" si="0"/>
        <v>1.7026050967199733</v>
      </c>
    </row>
    <row r="22" spans="10:13" x14ac:dyDescent="0.2">
      <c r="J22" s="2">
        <v>2.6</v>
      </c>
      <c r="K22" s="12">
        <f t="shared" si="1"/>
        <v>1.76</v>
      </c>
      <c r="M22" s="10">
        <f t="shared" si="0"/>
        <v>1.7178836984890391</v>
      </c>
    </row>
    <row r="23" spans="10:13" x14ac:dyDescent="0.2">
      <c r="J23" s="2">
        <v>2.8</v>
      </c>
      <c r="K23" s="12">
        <f t="shared" si="1"/>
        <v>1.78</v>
      </c>
      <c r="M23" s="10">
        <f t="shared" ref="M23:M34" si="2">M$1+M$2*(1/(1+EXP(($J23-M$3)/(-1*M$4))))</f>
        <v>1.7342815419963737</v>
      </c>
    </row>
    <row r="24" spans="10:13" x14ac:dyDescent="0.2">
      <c r="J24" s="2">
        <v>3</v>
      </c>
      <c r="K24" s="12">
        <f t="shared" si="1"/>
        <v>1.8</v>
      </c>
      <c r="M24" s="10">
        <f t="shared" si="2"/>
        <v>1.7518754909371519</v>
      </c>
    </row>
    <row r="25" spans="10:13" x14ac:dyDescent="0.2">
      <c r="J25" s="2">
        <v>3.2</v>
      </c>
      <c r="K25" s="12">
        <f t="shared" si="1"/>
        <v>1.82</v>
      </c>
      <c r="M25" s="10">
        <f t="shared" si="2"/>
        <v>1.7707468923437055</v>
      </c>
    </row>
    <row r="26" spans="10:13" x14ac:dyDescent="0.2">
      <c r="J26" s="2">
        <v>3.4</v>
      </c>
      <c r="K26" s="12">
        <f t="shared" si="1"/>
        <v>1.84</v>
      </c>
      <c r="M26" s="10">
        <f t="shared" si="2"/>
        <v>1.7909817128836134</v>
      </c>
    </row>
    <row r="27" spans="10:13" x14ac:dyDescent="0.2">
      <c r="J27" s="2">
        <v>3.6</v>
      </c>
      <c r="K27" s="12">
        <f t="shared" si="1"/>
        <v>1.86</v>
      </c>
      <c r="M27" s="10">
        <f t="shared" si="2"/>
        <v>1.8126706576201035</v>
      </c>
    </row>
    <row r="28" spans="10:13" x14ac:dyDescent="0.2">
      <c r="J28" s="2">
        <v>3.8</v>
      </c>
      <c r="K28" s="12">
        <f t="shared" si="1"/>
        <v>1.88</v>
      </c>
      <c r="M28" s="10">
        <f t="shared" si="2"/>
        <v>1.8359092666535222</v>
      </c>
    </row>
    <row r="29" spans="10:13" x14ac:dyDescent="0.2">
      <c r="J29" s="2">
        <v>4</v>
      </c>
      <c r="K29" s="12">
        <f t="shared" si="1"/>
        <v>1.9</v>
      </c>
      <c r="M29" s="10">
        <f t="shared" si="2"/>
        <v>1.860797984462522</v>
      </c>
    </row>
    <row r="30" spans="10:13" x14ac:dyDescent="0.2">
      <c r="J30" s="2">
        <v>4.2</v>
      </c>
      <c r="K30" s="12">
        <f t="shared" si="1"/>
        <v>1.92</v>
      </c>
      <c r="M30" s="10">
        <f t="shared" si="2"/>
        <v>1.8874421961302827</v>
      </c>
    </row>
    <row r="31" spans="10:13" x14ac:dyDescent="0.2">
      <c r="J31" s="2">
        <v>4.4000000000000004</v>
      </c>
      <c r="K31" s="12">
        <f t="shared" si="1"/>
        <v>1.94</v>
      </c>
      <c r="M31" s="10">
        <f t="shared" si="2"/>
        <v>1.9159522239827265</v>
      </c>
    </row>
    <row r="32" spans="10:13" x14ac:dyDescent="0.2">
      <c r="J32" s="2">
        <v>4.5999999999999996</v>
      </c>
      <c r="K32" s="12">
        <f t="shared" si="1"/>
        <v>1.96</v>
      </c>
      <c r="M32" s="10">
        <f t="shared" si="2"/>
        <v>1.9464432774937559</v>
      </c>
    </row>
    <row r="33" spans="10:13" x14ac:dyDescent="0.2">
      <c r="J33" s="2">
        <v>4.8</v>
      </c>
      <c r="K33" s="12">
        <f t="shared" si="1"/>
        <v>1.98</v>
      </c>
      <c r="M33" s="10">
        <f t="shared" si="2"/>
        <v>1.9790353486423826</v>
      </c>
    </row>
    <row r="34" spans="10:13" x14ac:dyDescent="0.2">
      <c r="J34" s="2">
        <v>5</v>
      </c>
      <c r="K34" s="12">
        <f t="shared" si="1"/>
        <v>2</v>
      </c>
      <c r="M34" s="10">
        <f t="shared" si="2"/>
        <v>2.0138530442580507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9180D-0927-4B40-8D2B-EAD906206BCB}">
  <dimension ref="A1:I20"/>
  <sheetViews>
    <sheetView tabSelected="1" zoomScale="130" zoomScaleNormal="130" workbookViewId="0">
      <selection activeCell="F5" sqref="F5"/>
    </sheetView>
  </sheetViews>
  <sheetFormatPr baseColWidth="10" defaultRowHeight="16" x14ac:dyDescent="0.2"/>
  <cols>
    <col min="1" max="1" width="12.1640625" bestFit="1" customWidth="1"/>
    <col min="2" max="2" width="8" bestFit="1" customWidth="1"/>
    <col min="3" max="3" width="12.83203125" bestFit="1" customWidth="1"/>
    <col min="4" max="4" width="11.83203125" bestFit="1" customWidth="1"/>
    <col min="5" max="5" width="12.83203125" bestFit="1" customWidth="1"/>
    <col min="6" max="6" width="11.83203125" bestFit="1" customWidth="1"/>
    <col min="7" max="7" width="12.83203125" bestFit="1" customWidth="1"/>
    <col min="8" max="8" width="11.5" bestFit="1" customWidth="1"/>
  </cols>
  <sheetData>
    <row r="1" spans="1:9" x14ac:dyDescent="0.2">
      <c r="B1" s="1" t="s">
        <v>1</v>
      </c>
      <c r="C1">
        <v>0.3</v>
      </c>
      <c r="E1">
        <v>0.3</v>
      </c>
      <c r="G1">
        <v>0.3</v>
      </c>
    </row>
    <row r="2" spans="1:9" x14ac:dyDescent="0.2">
      <c r="B2" s="1" t="s">
        <v>2</v>
      </c>
      <c r="C2">
        <v>104.8</v>
      </c>
      <c r="E2">
        <v>104.8</v>
      </c>
      <c r="G2">
        <v>104.8</v>
      </c>
    </row>
    <row r="3" spans="1:9" x14ac:dyDescent="0.2">
      <c r="B3" s="1" t="s">
        <v>3</v>
      </c>
      <c r="C3">
        <v>1.9211045364891499</v>
      </c>
      <c r="E3">
        <v>1.67759630029981</v>
      </c>
      <c r="G3">
        <f>AVERAGE(C3,E3)</f>
        <v>1.79935041839448</v>
      </c>
    </row>
    <row r="4" spans="1:9" x14ac:dyDescent="0.2">
      <c r="B4" s="1" t="s">
        <v>4</v>
      </c>
      <c r="C4">
        <v>-0.443561566638489</v>
      </c>
      <c r="E4">
        <v>-0.22521152098397801</v>
      </c>
      <c r="G4">
        <f>AVERAGE(C4,E4)</f>
        <v>-0.33438654381123351</v>
      </c>
    </row>
    <row r="5" spans="1:9" x14ac:dyDescent="0.2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19</v>
      </c>
      <c r="G5" s="2" t="s">
        <v>10</v>
      </c>
      <c r="H5" s="2" t="s">
        <v>11</v>
      </c>
    </row>
    <row r="6" spans="1:9" x14ac:dyDescent="0.2">
      <c r="A6" s="3">
        <v>0</v>
      </c>
      <c r="B6" s="2">
        <v>105.1</v>
      </c>
      <c r="C6" s="2">
        <v>103.74</v>
      </c>
      <c r="D6" s="2">
        <v>105.1</v>
      </c>
      <c r="E6" s="2">
        <v>105.04</v>
      </c>
      <c r="F6" s="2">
        <v>105.1</v>
      </c>
      <c r="G6" s="4">
        <f t="shared" ref="G6:G13" si="0">G$1+G$2*(1/(1+EXP(($A6-G$3)/(-1*G$4))))</f>
        <v>104.61981689557548</v>
      </c>
      <c r="H6" s="2">
        <v>105.1</v>
      </c>
      <c r="I6" s="5"/>
    </row>
    <row r="7" spans="1:9" x14ac:dyDescent="0.2">
      <c r="A7" s="3">
        <v>0.5</v>
      </c>
      <c r="B7" s="2">
        <v>103.7</v>
      </c>
      <c r="C7" s="2">
        <v>101.01</v>
      </c>
      <c r="D7" s="2">
        <v>102.26</v>
      </c>
      <c r="E7" s="2">
        <v>104.54</v>
      </c>
      <c r="F7" s="2">
        <v>104.6</v>
      </c>
      <c r="G7" s="4">
        <f t="shared" si="0"/>
        <v>102.99154357040497</v>
      </c>
      <c r="H7" s="2">
        <v>103.45</v>
      </c>
      <c r="I7" s="5"/>
    </row>
    <row r="8" spans="1:9" x14ac:dyDescent="0.2">
      <c r="A8" s="3">
        <v>1</v>
      </c>
      <c r="B8" s="2">
        <v>98.4</v>
      </c>
      <c r="C8" s="2">
        <v>93.43</v>
      </c>
      <c r="D8" s="2">
        <v>94.35</v>
      </c>
      <c r="E8" s="2">
        <v>100.17</v>
      </c>
      <c r="F8" s="2">
        <v>100.23</v>
      </c>
      <c r="G8" s="4">
        <f t="shared" si="0"/>
        <v>96.307265875531698</v>
      </c>
      <c r="H8" s="2">
        <v>96.7</v>
      </c>
      <c r="I8" s="5"/>
    </row>
    <row r="9" spans="1:9" x14ac:dyDescent="0.2">
      <c r="A9" s="3">
        <v>1.5</v>
      </c>
      <c r="B9" s="2">
        <v>85.5</v>
      </c>
      <c r="C9" s="2">
        <v>75.86</v>
      </c>
      <c r="D9" s="2">
        <v>76.040000000000006</v>
      </c>
      <c r="E9" s="2">
        <v>72.349999999999994</v>
      </c>
      <c r="F9" s="2">
        <v>72.38</v>
      </c>
      <c r="G9" s="4">
        <f t="shared" si="0"/>
        <v>74.704517883544511</v>
      </c>
      <c r="H9" s="2">
        <v>74.86</v>
      </c>
      <c r="I9" s="5"/>
    </row>
    <row r="10" spans="1:9" x14ac:dyDescent="0.2">
      <c r="A10" s="3">
        <v>2</v>
      </c>
      <c r="B10" s="2">
        <v>51.6</v>
      </c>
      <c r="C10" s="2">
        <v>48.05</v>
      </c>
      <c r="D10" s="2">
        <v>47.05</v>
      </c>
      <c r="E10" s="2">
        <v>20.51</v>
      </c>
      <c r="F10" s="2">
        <v>20.5</v>
      </c>
      <c r="G10" s="4">
        <f t="shared" si="0"/>
        <v>37.43395317425162</v>
      </c>
      <c r="H10" s="2">
        <v>37.19</v>
      </c>
      <c r="I10" s="5"/>
    </row>
    <row r="11" spans="1:9" x14ac:dyDescent="0.2">
      <c r="A11" s="3">
        <v>2.5</v>
      </c>
      <c r="B11" s="3">
        <v>1</v>
      </c>
      <c r="C11" s="2">
        <v>22.65</v>
      </c>
      <c r="D11" s="2">
        <v>20.58</v>
      </c>
      <c r="E11" s="2">
        <v>2.95</v>
      </c>
      <c r="F11" s="2">
        <v>2.92</v>
      </c>
      <c r="G11" s="4">
        <f t="shared" si="0"/>
        <v>11.781020001246118</v>
      </c>
      <c r="H11" s="2">
        <v>11.23</v>
      </c>
      <c r="I11" s="5"/>
    </row>
    <row r="12" spans="1:9" x14ac:dyDescent="0.2">
      <c r="A12" s="3">
        <v>3</v>
      </c>
      <c r="B12" s="3">
        <v>0.8</v>
      </c>
      <c r="C12" s="2">
        <v>8.76</v>
      </c>
      <c r="D12" s="2">
        <v>6.1</v>
      </c>
      <c r="E12" s="2">
        <v>0.59</v>
      </c>
      <c r="F12" s="2">
        <v>0.56000000000000005</v>
      </c>
      <c r="G12" s="4">
        <f t="shared" si="0"/>
        <v>3.112972801378449</v>
      </c>
      <c r="H12" s="2">
        <v>2.4900000000000002</v>
      </c>
      <c r="I12" s="5"/>
    </row>
    <row r="13" spans="1:9" x14ac:dyDescent="0.2">
      <c r="A13" s="3">
        <v>3.5</v>
      </c>
      <c r="B13" s="3">
        <v>0.3</v>
      </c>
      <c r="C13" s="2">
        <v>3.2</v>
      </c>
      <c r="D13" s="2">
        <v>0.3</v>
      </c>
      <c r="E13" s="2">
        <v>0.33</v>
      </c>
      <c r="F13" s="2">
        <v>0.3</v>
      </c>
      <c r="G13" s="4">
        <f t="shared" si="0"/>
        <v>0.94404294011634238</v>
      </c>
      <c r="H13" s="2">
        <v>0.3</v>
      </c>
      <c r="I13" s="5"/>
    </row>
    <row r="14" spans="1:9" x14ac:dyDescent="0.2">
      <c r="C14" s="2"/>
      <c r="I14" s="5"/>
    </row>
    <row r="15" spans="1:9" x14ac:dyDescent="0.2">
      <c r="A15">
        <v>0</v>
      </c>
      <c r="B15" s="3">
        <v>105.1</v>
      </c>
      <c r="C15" s="2">
        <f>C$1+C$2*(1/(1+EXP(($A15-C$3)/(-1*C$4))))</f>
        <v>103.73943847719816</v>
      </c>
      <c r="D15" s="2"/>
      <c r="E15" s="2">
        <f t="shared" ref="D15:E20" si="1">E$1+E$2*(1/(1+EXP(($A15-E$3)/(-1*E$4))))</f>
        <v>105.03903826541399</v>
      </c>
    </row>
    <row r="16" spans="1:9" x14ac:dyDescent="0.2">
      <c r="A16">
        <v>9.9994070902634192E-6</v>
      </c>
      <c r="B16" s="2">
        <f>B15-(2.8*A16)</f>
        <v>105.09997200166015</v>
      </c>
      <c r="C16" s="2">
        <f>C$1+C$2*(1/(1+EXP(($A16-C$3)/(-1*C$4))))</f>
        <v>103.73940820331256</v>
      </c>
      <c r="D16" s="2"/>
      <c r="E16" s="2">
        <f t="shared" si="1"/>
        <v>105.03903556022327</v>
      </c>
    </row>
    <row r="17" spans="1:6" x14ac:dyDescent="0.2">
      <c r="A17">
        <v>0.5</v>
      </c>
      <c r="B17" s="3">
        <f>B7</f>
        <v>103.7</v>
      </c>
      <c r="C17" s="2">
        <f>C$1+C$2*(1/(1+EXP(($A17-C$3)/(-1*C$4))))</f>
        <v>101.01058733442666</v>
      </c>
      <c r="D17" s="2"/>
      <c r="E17" s="2">
        <f t="shared" si="1"/>
        <v>104.54129705775162</v>
      </c>
    </row>
    <row r="18" spans="1:6" x14ac:dyDescent="0.2">
      <c r="A18">
        <v>1</v>
      </c>
      <c r="B18" s="3">
        <f>B8</f>
        <v>98.4</v>
      </c>
      <c r="C18" s="2">
        <f t="shared" ref="C18:C20" si="2">C$1+C$2*(1/(1+EXP(($A18-C$3)/(-1*C$4))))</f>
        <v>93.426218607705962</v>
      </c>
      <c r="E18" s="2">
        <f t="shared" si="1"/>
        <v>100.17084695591934</v>
      </c>
    </row>
    <row r="19" spans="1:6" x14ac:dyDescent="0.2">
      <c r="A19">
        <v>1.23</v>
      </c>
      <c r="B19" s="3">
        <f>124.2-(25.8*A19)</f>
        <v>92.466000000000008</v>
      </c>
      <c r="C19" s="2">
        <f t="shared" si="2"/>
        <v>86.87294455025453</v>
      </c>
      <c r="E19" s="2">
        <f t="shared" si="1"/>
        <v>92.468764101859207</v>
      </c>
      <c r="F19" s="13">
        <f>B19-E19</f>
        <v>-2.7641018591992861E-3</v>
      </c>
    </row>
    <row r="20" spans="1:6" x14ac:dyDescent="0.2">
      <c r="A20">
        <v>1.5</v>
      </c>
      <c r="B20" s="3">
        <f>B9</f>
        <v>85.5</v>
      </c>
      <c r="C20" s="2">
        <f t="shared" si="2"/>
        <v>75.859614230350189</v>
      </c>
      <c r="E20" s="2">
        <f t="shared" si="1"/>
        <v>72.35266118185983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07F6E-AE33-7341-BECB-3A8212912D2D}">
  <dimension ref="A1:D14"/>
  <sheetViews>
    <sheetView zoomScale="158" zoomScaleNormal="158" workbookViewId="0">
      <selection activeCell="A5" sqref="A5:B5"/>
    </sheetView>
  </sheetViews>
  <sheetFormatPr baseColWidth="10" defaultRowHeight="16" x14ac:dyDescent="0.2"/>
  <cols>
    <col min="1" max="1" width="3.1640625" bestFit="1" customWidth="1"/>
    <col min="2" max="2" width="4.1640625" bestFit="1" customWidth="1"/>
    <col min="3" max="4" width="12.6640625" bestFit="1" customWidth="1"/>
  </cols>
  <sheetData>
    <row r="1" spans="1:4" x14ac:dyDescent="0.2">
      <c r="B1" s="6" t="s">
        <v>12</v>
      </c>
      <c r="C1">
        <v>1.5</v>
      </c>
      <c r="D1">
        <v>1.48765641885797</v>
      </c>
    </row>
    <row r="2" spans="1:4" x14ac:dyDescent="0.2">
      <c r="B2" s="6" t="s">
        <v>2</v>
      </c>
      <c r="C2">
        <v>8.4</v>
      </c>
      <c r="D2">
        <v>8.4143065768363101</v>
      </c>
    </row>
    <row r="3" spans="1:4" x14ac:dyDescent="0.2">
      <c r="B3" s="6" t="s">
        <v>13</v>
      </c>
      <c r="C3" s="8">
        <v>12.269617706237399</v>
      </c>
      <c r="D3" s="8"/>
    </row>
    <row r="4" spans="1:4" x14ac:dyDescent="0.2">
      <c r="B4" s="6" t="s">
        <v>4</v>
      </c>
      <c r="C4" s="8">
        <v>1.8809533698123699</v>
      </c>
      <c r="D4" s="8"/>
    </row>
    <row r="5" spans="1:4" ht="18" x14ac:dyDescent="0.25">
      <c r="A5" s="9" t="s">
        <v>18</v>
      </c>
      <c r="B5" s="9"/>
      <c r="C5" s="2">
        <v>2.7</v>
      </c>
      <c r="D5" s="2">
        <f>C5/C4</f>
        <v>1.4354422833296141</v>
      </c>
    </row>
    <row r="6" spans="1:4" x14ac:dyDescent="0.2">
      <c r="A6" s="7" t="s">
        <v>14</v>
      </c>
      <c r="B6" s="7" t="s">
        <v>15</v>
      </c>
      <c r="C6" s="7" t="s">
        <v>16</v>
      </c>
      <c r="D6" s="7" t="s">
        <v>17</v>
      </c>
    </row>
    <row r="7" spans="1:4" x14ac:dyDescent="0.2">
      <c r="A7">
        <v>0</v>
      </c>
      <c r="B7">
        <v>1.5</v>
      </c>
      <c r="C7">
        <f>C$1+C$2*(1/(1+EXP(($A7-$C$3)/(-$C$4))))</f>
        <v>1.5123225937450893</v>
      </c>
      <c r="D7">
        <f>D$1+D$2*(1/(1+EXP(($A7-$C$3)/(-$C$4))))</f>
        <v>1.4999999999999922</v>
      </c>
    </row>
    <row r="8" spans="1:4" x14ac:dyDescent="0.2">
      <c r="A8">
        <v>5</v>
      </c>
      <c r="B8">
        <v>2</v>
      </c>
      <c r="C8">
        <f t="shared" ref="C8:D14" si="0">C$1+C$2*(1/(1+EXP(($A8-$C$3)/(-$C$4))))</f>
        <v>1.6724969976216613</v>
      </c>
      <c r="D8">
        <f t="shared" si="0"/>
        <v>1.6604472071404059</v>
      </c>
    </row>
    <row r="9" spans="1:4" x14ac:dyDescent="0.2">
      <c r="A9">
        <v>9</v>
      </c>
      <c r="B9">
        <v>3.5</v>
      </c>
      <c r="C9">
        <f t="shared" si="0"/>
        <v>2.7560682823620697</v>
      </c>
      <c r="D9">
        <f t="shared" si="0"/>
        <v>2.7458639913859049</v>
      </c>
    </row>
    <row r="10" spans="1:4" x14ac:dyDescent="0.2">
      <c r="A10">
        <v>13</v>
      </c>
      <c r="B10">
        <v>6.2</v>
      </c>
      <c r="C10">
        <f t="shared" si="0"/>
        <v>6.5053452039466082</v>
      </c>
      <c r="D10">
        <f t="shared" si="0"/>
        <v>6.5015265461084493</v>
      </c>
    </row>
    <row r="11" spans="1:4" x14ac:dyDescent="0.2">
      <c r="A11">
        <v>16</v>
      </c>
      <c r="B11">
        <v>8.1999999999999993</v>
      </c>
      <c r="C11">
        <f t="shared" si="0"/>
        <v>8.8838196032012675</v>
      </c>
      <c r="D11">
        <f t="shared" si="0"/>
        <v>8.8840518771186012</v>
      </c>
    </row>
    <row r="12" spans="1:4" x14ac:dyDescent="0.2">
      <c r="A12">
        <v>20</v>
      </c>
      <c r="B12">
        <v>9.4</v>
      </c>
      <c r="C12">
        <f t="shared" si="0"/>
        <v>9.7643757571501517</v>
      </c>
      <c r="D12">
        <f t="shared" si="0"/>
        <v>9.7661077625288115</v>
      </c>
    </row>
    <row r="13" spans="1:4" x14ac:dyDescent="0.2">
      <c r="A13">
        <v>24</v>
      </c>
      <c r="B13">
        <v>9.8000000000000007</v>
      </c>
      <c r="C13">
        <f t="shared" si="0"/>
        <v>9.8835942888271155</v>
      </c>
      <c r="D13">
        <f t="shared" si="0"/>
        <v>9.8855293429062225</v>
      </c>
    </row>
    <row r="14" spans="1:4" x14ac:dyDescent="0.2">
      <c r="A14">
        <v>28</v>
      </c>
      <c r="B14">
        <v>9.9</v>
      </c>
      <c r="C14">
        <f t="shared" si="0"/>
        <v>9.8980403419246183</v>
      </c>
      <c r="D14">
        <f t="shared" si="0"/>
        <v>9.8999999999999897</v>
      </c>
    </row>
  </sheetData>
  <mergeCells count="3">
    <mergeCell ref="C3:D3"/>
    <mergeCell ref="C4:D4"/>
    <mergeCell ref="A5:B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85DF1-FBED-9646-9740-91ECF307FF66}">
  <dimension ref="A1:D14"/>
  <sheetViews>
    <sheetView zoomScale="158" zoomScaleNormal="158" workbookViewId="0">
      <selection activeCell="E25" sqref="E25:E26"/>
    </sheetView>
  </sheetViews>
  <sheetFormatPr baseColWidth="10" defaultRowHeight="16" x14ac:dyDescent="0.2"/>
  <cols>
    <col min="1" max="1" width="4.1640625" bestFit="1" customWidth="1"/>
    <col min="2" max="2" width="6.33203125" bestFit="1" customWidth="1"/>
    <col min="3" max="3" width="12.6640625" bestFit="1" customWidth="1"/>
    <col min="4" max="4" width="13.1640625" bestFit="1" customWidth="1"/>
  </cols>
  <sheetData>
    <row r="1" spans="1:4" x14ac:dyDescent="0.2">
      <c r="B1" s="6" t="s">
        <v>12</v>
      </c>
      <c r="C1">
        <v>0.3</v>
      </c>
      <c r="D1">
        <v>-3.0346827515499801</v>
      </c>
    </row>
    <row r="2" spans="1:4" x14ac:dyDescent="0.2">
      <c r="B2" s="6" t="s">
        <v>2</v>
      </c>
      <c r="C2">
        <v>104.8</v>
      </c>
      <c r="D2">
        <v>109.240178265022</v>
      </c>
    </row>
    <row r="3" spans="1:4" x14ac:dyDescent="0.2">
      <c r="B3" s="6" t="s">
        <v>13</v>
      </c>
      <c r="C3" s="8">
        <v>1.9211045364891499</v>
      </c>
      <c r="D3" s="8"/>
    </row>
    <row r="4" spans="1:4" x14ac:dyDescent="0.2">
      <c r="B4" s="6" t="s">
        <v>4</v>
      </c>
      <c r="C4" s="8">
        <v>-0.443561566638489</v>
      </c>
      <c r="D4" s="8"/>
    </row>
    <row r="5" spans="1:4" ht="18" x14ac:dyDescent="0.25">
      <c r="A5" s="9" t="s">
        <v>18</v>
      </c>
      <c r="B5" s="9"/>
      <c r="C5" s="2">
        <v>-0.33</v>
      </c>
      <c r="D5" s="2">
        <f>C5/C4</f>
        <v>0.74397789353322441</v>
      </c>
    </row>
    <row r="6" spans="1:4" x14ac:dyDescent="0.2">
      <c r="A6" s="7" t="s">
        <v>14</v>
      </c>
      <c r="B6" s="7" t="s">
        <v>15</v>
      </c>
      <c r="C6" s="7" t="s">
        <v>16</v>
      </c>
      <c r="D6" s="7" t="s">
        <v>17</v>
      </c>
    </row>
    <row r="7" spans="1:4" x14ac:dyDescent="0.2">
      <c r="A7">
        <v>0</v>
      </c>
      <c r="B7">
        <v>105.1</v>
      </c>
      <c r="C7">
        <f>C$1+C$2*(1/(1+EXP(($A7-$C$3)/(-$C$4))))</f>
        <v>103.73943847719816</v>
      </c>
      <c r="D7">
        <f>D$1+D$2*(1/(1+EXP(($A7-$C$3)/(-$C$4))))</f>
        <v>104.78728956603497</v>
      </c>
    </row>
    <row r="8" spans="1:4" x14ac:dyDescent="0.2">
      <c r="A8">
        <v>0.5</v>
      </c>
      <c r="B8">
        <v>103.7</v>
      </c>
      <c r="C8">
        <f t="shared" ref="C8:D14" si="0">C$1+C$2*(1/(1+EXP(($A8-$C$3)/(-$C$4))))</f>
        <v>101.01058733442666</v>
      </c>
      <c r="D8">
        <f t="shared" si="0"/>
        <v>101.94282214909731</v>
      </c>
    </row>
    <row r="9" spans="1:4" x14ac:dyDescent="0.2">
      <c r="A9">
        <v>1</v>
      </c>
      <c r="B9">
        <v>98.4</v>
      </c>
      <c r="C9">
        <f t="shared" si="0"/>
        <v>93.426218607705962</v>
      </c>
      <c r="D9">
        <f t="shared" si="0"/>
        <v>94.037118029492092</v>
      </c>
    </row>
    <row r="10" spans="1:4" x14ac:dyDescent="0.2">
      <c r="A10">
        <v>1.5</v>
      </c>
      <c r="B10">
        <v>85.5</v>
      </c>
      <c r="C10">
        <f t="shared" si="0"/>
        <v>75.859614230350189</v>
      </c>
      <c r="D10">
        <f t="shared" si="0"/>
        <v>75.726249769058299</v>
      </c>
    </row>
    <row r="11" spans="1:4" x14ac:dyDescent="0.2">
      <c r="A11">
        <v>2</v>
      </c>
      <c r="B11">
        <v>51.6</v>
      </c>
      <c r="C11">
        <f t="shared" si="0"/>
        <v>48.052102529360404</v>
      </c>
      <c r="D11">
        <f t="shared" si="0"/>
        <v>46.740586264069663</v>
      </c>
    </row>
    <row r="12" spans="1:4" x14ac:dyDescent="0.2">
      <c r="A12">
        <v>2.5</v>
      </c>
      <c r="B12">
        <v>1</v>
      </c>
      <c r="C12">
        <f t="shared" si="0"/>
        <v>22.654543434140322</v>
      </c>
      <c r="D12">
        <f t="shared" si="0"/>
        <v>20.266980509696833</v>
      </c>
    </row>
    <row r="13" spans="1:4" x14ac:dyDescent="0.2">
      <c r="A13">
        <v>3</v>
      </c>
      <c r="B13">
        <v>0.8</v>
      </c>
      <c r="C13">
        <f t="shared" si="0"/>
        <v>8.7614609499045759</v>
      </c>
      <c r="D13">
        <f t="shared" si="0"/>
        <v>5.7852743338517207</v>
      </c>
    </row>
    <row r="14" spans="1:4" x14ac:dyDescent="0.2">
      <c r="A14">
        <v>3.5</v>
      </c>
      <c r="B14">
        <v>0.3</v>
      </c>
      <c r="C14">
        <f t="shared" si="0"/>
        <v>3.199141176011191</v>
      </c>
      <c r="D14">
        <f>D$1+D$2*(1/(1+EXP(($A14-$C$3)/(-$C$4))))</f>
        <v>-1.271043396478877E-2</v>
      </c>
    </row>
  </sheetData>
  <mergeCells count="3">
    <mergeCell ref="C3:D3"/>
    <mergeCell ref="C4:D4"/>
    <mergeCell ref="A5:B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Graphiques</vt:lpstr>
      </vt:variant>
      <vt:variant>
        <vt:i4>2</vt:i4>
      </vt:variant>
    </vt:vector>
  </HeadingPairs>
  <TitlesOfParts>
    <vt:vector size="6" baseType="lpstr">
      <vt:lpstr>Biofermentation semaine 3 ex</vt:lpstr>
      <vt:lpstr>Biofermentation labo. 5 O2</vt:lpstr>
      <vt:lpstr>8F3_exer_w3</vt:lpstr>
      <vt:lpstr>8F3_labo5_o2</vt:lpstr>
      <vt:lpstr>Bioferm. s. 3 exercice</vt:lpstr>
      <vt:lpstr>Bioferm. laboratoire 5 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2025-08-16T17:23:57Z</dcterms:created>
  <dcterms:modified xsi:type="dcterms:W3CDTF">2025-08-17T20:23:28Z</dcterms:modified>
</cp:coreProperties>
</file>
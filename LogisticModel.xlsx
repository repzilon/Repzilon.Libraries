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ener/Projects/Repzilon.Libraries/"/>
    </mc:Choice>
  </mc:AlternateContent>
  <xr:revisionPtr revIDLastSave="0" documentId="13_ncr:1_{6957AED7-077E-104F-BF94-BDF56BF2AFA2}" xr6:coauthVersionLast="47" xr6:coauthVersionMax="47" xr10:uidLastSave="{00000000-0000-0000-0000-000000000000}"/>
  <bookViews>
    <workbookView xWindow="-20" yWindow="-23500" windowWidth="38400" windowHeight="22400" activeTab="1" xr2:uid="{EA72EE1C-EB9E-194F-A03F-497BA5E072C1}"/>
  </bookViews>
  <sheets>
    <sheet name="Biofermentation semaine 3 ex" sheetId="1" r:id="rId1"/>
    <sheet name="Bioferm. s. 3 exercice" sheetId="2" r:id="rId2"/>
    <sheet name="Biofermentation labo. 5 O2" sheetId="3" r:id="rId3"/>
    <sheet name="Bioferm. laboratoire 5 O2" sheetId="5" r:id="rId4"/>
    <sheet name="8F3_exer_w3" sheetId="6" r:id="rId5"/>
    <sheet name="8F3_labo5_o2" sheetId="7" r:id="rId6"/>
  </sheets>
  <externalReferences>
    <externalReference r:id="rId7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5" i="7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5" i="6"/>
  <c r="G3" i="3"/>
  <c r="G10" i="3" l="1"/>
  <c r="G13" i="3"/>
  <c r="G6" i="3"/>
  <c r="G12" i="3"/>
  <c r="G9" i="3"/>
  <c r="G11" i="3"/>
  <c r="G7" i="3"/>
  <c r="G8" i="3"/>
</calcChain>
</file>

<file path=xl/sharedStrings.xml><?xml version="1.0" encoding="utf-8"?>
<sst xmlns="http://schemas.openxmlformats.org/spreadsheetml/2006/main" count="42" uniqueCount="20">
  <si>
    <t>Temps (h)</t>
  </si>
  <si>
    <t>k</t>
  </si>
  <si>
    <t>A</t>
  </si>
  <si>
    <t>n</t>
  </si>
  <si>
    <t>s</t>
  </si>
  <si>
    <t>Temps (min)</t>
  </si>
  <si>
    <t>Mesurée</t>
  </si>
  <si>
    <t>Interpolée 1A</t>
  </si>
  <si>
    <t>Interpolée 1B</t>
  </si>
  <si>
    <t>Interpolée 2A</t>
  </si>
  <si>
    <t>Mi-chemin A</t>
  </si>
  <si>
    <t>Mi-chemin B</t>
  </si>
  <si>
    <t>B</t>
  </si>
  <si>
    <t>µ</t>
  </si>
  <si>
    <t>x</t>
  </si>
  <si>
    <t>y</t>
  </si>
  <si>
    <t>y^</t>
  </si>
  <si>
    <t>y^'</t>
  </si>
  <si>
    <r>
      <t>s</t>
    </r>
    <r>
      <rPr>
        <b/>
        <vertAlign val="subscript"/>
        <sz val="12"/>
        <color theme="1"/>
        <rFont val="Aptos Narrow (Corps)"/>
      </rPr>
      <t>i</t>
    </r>
    <r>
      <rPr>
        <b/>
        <sz val="12"/>
        <color theme="1"/>
        <rFont val="Aptos Narrow"/>
        <scheme val="minor"/>
      </rPr>
      <t>, s</t>
    </r>
    <r>
      <rPr>
        <b/>
        <vertAlign val="subscript"/>
        <sz val="12"/>
        <color theme="1"/>
        <rFont val="Aptos Narrow (Corps)"/>
      </rPr>
      <t>i</t>
    </r>
    <r>
      <rPr>
        <b/>
        <sz val="12"/>
        <color theme="1"/>
        <rFont val="Aptos Narrow"/>
        <scheme val="minor"/>
      </rPr>
      <t>/s</t>
    </r>
  </si>
  <si>
    <t>Interpolée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</si>
</sst>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vertAlign val="subscript"/>
      <sz val="12"/>
      <color theme="1"/>
      <name val="Aptos Narrow (Corps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fr-CA" b="1"/>
              <a:t>Biomasse</a:t>
            </a:r>
            <a:r>
              <a:rPr lang="fr-CA" b="1" baseline="0"/>
              <a:t> de </a:t>
            </a:r>
            <a:r>
              <a:rPr lang="fr-CA" b="1" i="1" baseline="0"/>
              <a:t>Saccharomyces cerevisiae</a:t>
            </a:r>
            <a:r>
              <a:rPr lang="fr-CA" b="1" baseline="0"/>
              <a:t> pendant une fermentation de 28 h</a:t>
            </a:r>
            <a:endParaRPr lang="fr-C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C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'Biofermentation semaine 3 ex'!$B$5</c:f>
              <c:strCache>
                <c:ptCount val="1"/>
                <c:pt idx="0">
                  <c:v>Mesurée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'Biofermentation semaine 3 ex'!$A$6:$A$13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'Biofermentation semaine 3 ex'!$B$6:$B$13</c:f>
              <c:numCache>
                <c:formatCode>0\.0</c:formatCode>
                <c:ptCount val="8"/>
                <c:pt idx="0" formatCode="General">
                  <c:v>1.5</c:v>
                </c:pt>
                <c:pt idx="1">
                  <c:v>2</c:v>
                </c:pt>
                <c:pt idx="2" formatCode="General">
                  <c:v>3.5</c:v>
                </c:pt>
                <c:pt idx="3" formatCode="General">
                  <c:v>6.2</c:v>
                </c:pt>
                <c:pt idx="4" formatCode="General">
                  <c:v>8.1999999999999993</c:v>
                </c:pt>
                <c:pt idx="5" formatCode="General">
                  <c:v>9.4</c:v>
                </c:pt>
                <c:pt idx="6" formatCode="General">
                  <c:v>9.8000000000000007</c:v>
                </c:pt>
                <c:pt idx="7" formatCode="General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CF-C14A-8E79-0D5BDBE92856}"/>
            </c:ext>
          </c:extLst>
        </c:ser>
        <c:ser>
          <c:idx val="1"/>
          <c:order val="1"/>
          <c:tx>
            <c:strRef>
              <c:f>'Biofermentation semaine 3 ex'!$C$5</c:f>
              <c:strCache>
                <c:ptCount val="1"/>
                <c:pt idx="0">
                  <c:v>Interpolée 1A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'Biofermentation semaine 3 ex'!$A$6:$A$13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'Biofermentation semaine 3 ex'!$C$6:$C$13</c:f>
              <c:numCache>
                <c:formatCode>General</c:formatCode>
                <c:ptCount val="8"/>
                <c:pt idx="0">
                  <c:v>1.51</c:v>
                </c:pt>
                <c:pt idx="1">
                  <c:v>1.67</c:v>
                </c:pt>
                <c:pt idx="2">
                  <c:v>2.67</c:v>
                </c:pt>
                <c:pt idx="3">
                  <c:v>6.51</c:v>
                </c:pt>
                <c:pt idx="4">
                  <c:v>8.8800000000000008</c:v>
                </c:pt>
                <c:pt idx="5">
                  <c:v>9.76</c:v>
                </c:pt>
                <c:pt idx="6">
                  <c:v>9.8800000000000008</c:v>
                </c:pt>
                <c:pt idx="7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CF-C14A-8E79-0D5BDBE92856}"/>
            </c:ext>
          </c:extLst>
        </c:ser>
        <c:ser>
          <c:idx val="2"/>
          <c:order val="2"/>
          <c:tx>
            <c:strRef>
              <c:f>'Biofermentation semaine 3 ex'!$D$5</c:f>
              <c:strCache>
                <c:ptCount val="1"/>
                <c:pt idx="0">
                  <c:v>Interpolée 1B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'Biofermentation semaine 3 ex'!$A$6:$A$13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'Biofermentation semaine 3 ex'!$D$6:$D$13</c:f>
              <c:numCache>
                <c:formatCode>General</c:formatCode>
                <c:ptCount val="8"/>
                <c:pt idx="0">
                  <c:v>1.5</c:v>
                </c:pt>
                <c:pt idx="1">
                  <c:v>1.66</c:v>
                </c:pt>
                <c:pt idx="2">
                  <c:v>2.75</c:v>
                </c:pt>
                <c:pt idx="3">
                  <c:v>6.5</c:v>
                </c:pt>
                <c:pt idx="4">
                  <c:v>8.8800000000000008</c:v>
                </c:pt>
                <c:pt idx="5">
                  <c:v>9.77</c:v>
                </c:pt>
                <c:pt idx="6">
                  <c:v>9.89</c:v>
                </c:pt>
                <c:pt idx="7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CF-C14A-8E79-0D5BDBE92856}"/>
            </c:ext>
          </c:extLst>
        </c:ser>
        <c:ser>
          <c:idx val="3"/>
          <c:order val="3"/>
          <c:tx>
            <c:strRef>
              <c:f>'Biofermentation semaine 3 ex'!$E$5</c:f>
              <c:strCache>
                <c:ptCount val="1"/>
                <c:pt idx="0">
                  <c:v>Interpolée 2A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'Biofermentation semaine 3 ex'!$A$6:$A$13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'Biofermentation semaine 3 ex'!$E$6:$E$13</c:f>
              <c:numCache>
                <c:formatCode>General</c:formatCode>
                <c:ptCount val="8"/>
                <c:pt idx="0">
                  <c:v>1.58</c:v>
                </c:pt>
                <c:pt idx="1">
                  <c:v>2.0099999999999998</c:v>
                </c:pt>
                <c:pt idx="2">
                  <c:v>3.39</c:v>
                </c:pt>
                <c:pt idx="3">
                  <c:v>6.23</c:v>
                </c:pt>
                <c:pt idx="4">
                  <c:v>8.1999999999999993</c:v>
                </c:pt>
                <c:pt idx="5">
                  <c:v>9.4499999999999993</c:v>
                </c:pt>
                <c:pt idx="6">
                  <c:v>9.7899999999999991</c:v>
                </c:pt>
                <c:pt idx="7">
                  <c:v>9.8800000000000008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CF-C14A-8E79-0D5BDBE92856}"/>
            </c:ext>
          </c:extLst>
        </c:ser>
        <c:ser>
          <c:idx val="4"/>
          <c:order val="4"/>
          <c:tx>
            <c:strRef>
              <c:f>'Biofermentation semaine 3 ex'!$F$5</c:f>
              <c:strCache>
                <c:ptCount val="1"/>
                <c:pt idx="0">
                  <c:v>Interpolée 2B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'Biofermentation semaine 3 ex'!$A$6:$A$13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'Biofermentation semaine 3 ex'!$F$6:$F$13</c:f>
              <c:numCache>
                <c:formatCode>General</c:formatCode>
                <c:ptCount val="8"/>
                <c:pt idx="0">
                  <c:v>1.5</c:v>
                </c:pt>
                <c:pt idx="1">
                  <c:v>1.94</c:v>
                </c:pt>
                <c:pt idx="2">
                  <c:v>3.33</c:v>
                </c:pt>
                <c:pt idx="3">
                  <c:v>6.2</c:v>
                </c:pt>
                <c:pt idx="4">
                  <c:v>8.1999999999999993</c:v>
                </c:pt>
                <c:pt idx="5">
                  <c:v>9.4600000000000009</c:v>
                </c:pt>
                <c:pt idx="6">
                  <c:v>9.82</c:v>
                </c:pt>
                <c:pt idx="7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A7-5D45-BE67-FB866E969299}"/>
            </c:ext>
          </c:extLst>
        </c:ser>
        <c:ser>
          <c:idx val="5"/>
          <c:order val="5"/>
          <c:tx>
            <c:strRef>
              <c:f>'Biofermentation semaine 3 ex'!$G$5</c:f>
              <c:strCache>
                <c:ptCount val="1"/>
                <c:pt idx="0">
                  <c:v>Mi-chemin A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'Biofermentation semaine 3 ex'!$A$6:$A$13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'Biofermentation semaine 3 ex'!$G$6:$G$13</c:f>
              <c:numCache>
                <c:formatCode>General</c:formatCode>
                <c:ptCount val="8"/>
                <c:pt idx="0">
                  <c:v>1.54</c:v>
                </c:pt>
                <c:pt idx="1">
                  <c:v>1.83</c:v>
                </c:pt>
                <c:pt idx="2">
                  <c:v>3.1</c:v>
                </c:pt>
                <c:pt idx="3">
                  <c:v>6.34</c:v>
                </c:pt>
                <c:pt idx="4">
                  <c:v>8.52</c:v>
                </c:pt>
                <c:pt idx="5">
                  <c:v>9.6199999999999992</c:v>
                </c:pt>
                <c:pt idx="6">
                  <c:v>9.85</c:v>
                </c:pt>
                <c:pt idx="7">
                  <c:v>9.89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A7-5D45-BE67-FB866E969299}"/>
            </c:ext>
          </c:extLst>
        </c:ser>
        <c:ser>
          <c:idx val="6"/>
          <c:order val="6"/>
          <c:tx>
            <c:strRef>
              <c:f>'Biofermentation semaine 3 ex'!$H$5</c:f>
              <c:strCache>
                <c:ptCount val="1"/>
                <c:pt idx="0">
                  <c:v>Mi-chemin 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'Biofermentation semaine 3 ex'!$A$6:$A$13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'Biofermentation semaine 3 ex'!$H$6:$H$13</c:f>
              <c:numCache>
                <c:formatCode>General</c:formatCode>
                <c:ptCount val="8"/>
                <c:pt idx="0">
                  <c:v>1.5</c:v>
                </c:pt>
                <c:pt idx="1">
                  <c:v>1.79</c:v>
                </c:pt>
                <c:pt idx="2">
                  <c:v>3.07</c:v>
                </c:pt>
                <c:pt idx="3">
                  <c:v>6.33</c:v>
                </c:pt>
                <c:pt idx="4">
                  <c:v>8.52</c:v>
                </c:pt>
                <c:pt idx="5">
                  <c:v>9.6300000000000008</c:v>
                </c:pt>
                <c:pt idx="6">
                  <c:v>9.86</c:v>
                </c:pt>
                <c:pt idx="7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A7-5D45-BE67-FB866E969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613200"/>
        <c:axId val="1065115344"/>
      </c:scatterChart>
      <c:valAx>
        <c:axId val="105161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CA" sz="1200" b="1"/>
                  <a:t>Temps</a:t>
                </a:r>
                <a:r>
                  <a:rPr lang="fr-CA" sz="1200" b="1" baseline="0"/>
                  <a:t> (h)</a:t>
                </a:r>
                <a:endParaRPr lang="fr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CA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065115344"/>
        <c:crosses val="autoZero"/>
        <c:crossBetween val="midCat"/>
      </c:valAx>
      <c:valAx>
        <c:axId val="1065115344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CA" sz="1200" b="1"/>
                  <a:t>Biomasse</a:t>
                </a:r>
                <a:r>
                  <a:rPr lang="fr-CA" sz="1200" b="1" baseline="0"/>
                  <a:t> (g/L)</a:t>
                </a:r>
                <a:endParaRPr lang="fr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CA"/>
            </a:p>
          </c:txPr>
        </c:title>
        <c:numFmt formatCode="#,##0.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0516132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81809355147263862"/>
          <c:y val="0.73387038513376968"/>
          <c:w val="0.14741748215956713"/>
          <c:h val="0.1472510108508332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fr-CA" b="1"/>
              <a:t>Saturation</a:t>
            </a:r>
            <a:r>
              <a:rPr lang="fr-CA" b="1" baseline="0"/>
              <a:t> en oxygène après débranchement de l'alimentation en oxygène du bioréacteur de l'équipe 10</a:t>
            </a:r>
            <a:endParaRPr lang="fr-C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C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'Biofermentation labo. 5 O2'!$B$5</c:f>
              <c:strCache>
                <c:ptCount val="1"/>
                <c:pt idx="0">
                  <c:v>Mesurée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'Biofermentation labo. 5 O2'!$A$6:$A$13</c:f>
              <c:numCache>
                <c:formatCode>0.0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'Biofermentation labo. 5 O2'!$B$6:$B$13</c:f>
              <c:numCache>
                <c:formatCode>General</c:formatCode>
                <c:ptCount val="8"/>
                <c:pt idx="0">
                  <c:v>105.1</c:v>
                </c:pt>
                <c:pt idx="1">
                  <c:v>103.7</c:v>
                </c:pt>
                <c:pt idx="2">
                  <c:v>98.4</c:v>
                </c:pt>
                <c:pt idx="3">
                  <c:v>85.5</c:v>
                </c:pt>
                <c:pt idx="4">
                  <c:v>51.6</c:v>
                </c:pt>
                <c:pt idx="5" formatCode="0.0">
                  <c:v>1</c:v>
                </c:pt>
                <c:pt idx="6" formatCode="0.0">
                  <c:v>0.8</c:v>
                </c:pt>
                <c:pt idx="7" formatCode="0.0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2-F342-80B7-D0AA2F8B8A79}"/>
            </c:ext>
          </c:extLst>
        </c:ser>
        <c:ser>
          <c:idx val="1"/>
          <c:order val="1"/>
          <c:tx>
            <c:strRef>
              <c:f>'Biofermentation labo. 5 O2'!$C$5</c:f>
              <c:strCache>
                <c:ptCount val="1"/>
                <c:pt idx="0">
                  <c:v>Interpolée 1A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'Biofermentation labo. 5 O2'!$A$6:$A$13</c:f>
              <c:numCache>
                <c:formatCode>0.0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'Biofermentation labo. 5 O2'!$C$6:$C$13</c:f>
              <c:numCache>
                <c:formatCode>General</c:formatCode>
                <c:ptCount val="8"/>
                <c:pt idx="0">
                  <c:v>103.74</c:v>
                </c:pt>
                <c:pt idx="1">
                  <c:v>101.01</c:v>
                </c:pt>
                <c:pt idx="2">
                  <c:v>93.43</c:v>
                </c:pt>
                <c:pt idx="3">
                  <c:v>75.86</c:v>
                </c:pt>
                <c:pt idx="4">
                  <c:v>48.05</c:v>
                </c:pt>
                <c:pt idx="5">
                  <c:v>22.65</c:v>
                </c:pt>
                <c:pt idx="6">
                  <c:v>8.76</c:v>
                </c:pt>
                <c:pt idx="7">
                  <c:v>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02-F342-80B7-D0AA2F8B8A79}"/>
            </c:ext>
          </c:extLst>
        </c:ser>
        <c:ser>
          <c:idx val="2"/>
          <c:order val="2"/>
          <c:tx>
            <c:strRef>
              <c:f>'Biofermentation labo. 5 O2'!$D$5</c:f>
              <c:strCache>
                <c:ptCount val="1"/>
                <c:pt idx="0">
                  <c:v>Interpolée 1B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'Biofermentation labo. 5 O2'!$A$6:$A$13</c:f>
              <c:numCache>
                <c:formatCode>0.0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'Biofermentation labo. 5 O2'!$D$6:$D$13</c:f>
              <c:numCache>
                <c:formatCode>General</c:formatCode>
                <c:ptCount val="8"/>
                <c:pt idx="0">
                  <c:v>105.1</c:v>
                </c:pt>
                <c:pt idx="1">
                  <c:v>102.26</c:v>
                </c:pt>
                <c:pt idx="2">
                  <c:v>94.35</c:v>
                </c:pt>
                <c:pt idx="3">
                  <c:v>76.040000000000006</c:v>
                </c:pt>
                <c:pt idx="4">
                  <c:v>47.05</c:v>
                </c:pt>
                <c:pt idx="5">
                  <c:v>20.58</c:v>
                </c:pt>
                <c:pt idx="6">
                  <c:v>6.1</c:v>
                </c:pt>
                <c:pt idx="7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02-F342-80B7-D0AA2F8B8A79}"/>
            </c:ext>
          </c:extLst>
        </c:ser>
        <c:ser>
          <c:idx val="3"/>
          <c:order val="3"/>
          <c:tx>
            <c:strRef>
              <c:f>'Biofermentation labo. 5 O2'!$E$5</c:f>
              <c:strCache>
                <c:ptCount val="1"/>
                <c:pt idx="0">
                  <c:v>Interpolée 2A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'Biofermentation labo. 5 O2'!$A$6:$A$13</c:f>
              <c:numCache>
                <c:formatCode>0.0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'Biofermentation labo. 5 O2'!$E$6:$E$13</c:f>
              <c:numCache>
                <c:formatCode>General</c:formatCode>
                <c:ptCount val="8"/>
                <c:pt idx="0">
                  <c:v>105.04</c:v>
                </c:pt>
                <c:pt idx="1">
                  <c:v>104.54</c:v>
                </c:pt>
                <c:pt idx="2">
                  <c:v>100.17</c:v>
                </c:pt>
                <c:pt idx="3">
                  <c:v>72.349999999999994</c:v>
                </c:pt>
                <c:pt idx="4">
                  <c:v>20.51</c:v>
                </c:pt>
                <c:pt idx="5">
                  <c:v>2.95</c:v>
                </c:pt>
                <c:pt idx="6">
                  <c:v>0.59</c:v>
                </c:pt>
                <c:pt idx="7">
                  <c:v>0.33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02-F342-80B7-D0AA2F8B8A79}"/>
            </c:ext>
          </c:extLst>
        </c:ser>
        <c:ser>
          <c:idx val="4"/>
          <c:order val="4"/>
          <c:tx>
            <c:strRef>
              <c:f>'Biofermentation labo. 5 O2'!$F$5</c:f>
              <c:strCache>
                <c:ptCount val="1"/>
                <c:pt idx="0">
                  <c:v>Interpolée 2B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'Biofermentation labo. 5 O2'!$A$6:$A$13</c:f>
              <c:numCache>
                <c:formatCode>0.0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'Biofermentation labo. 5 O2'!$F$6:$F$13</c:f>
              <c:numCache>
                <c:formatCode>General</c:formatCode>
                <c:ptCount val="8"/>
                <c:pt idx="0">
                  <c:v>105.1</c:v>
                </c:pt>
                <c:pt idx="1">
                  <c:v>104.6</c:v>
                </c:pt>
                <c:pt idx="2">
                  <c:v>100.23</c:v>
                </c:pt>
                <c:pt idx="3">
                  <c:v>72.38</c:v>
                </c:pt>
                <c:pt idx="4">
                  <c:v>20.5</c:v>
                </c:pt>
                <c:pt idx="5">
                  <c:v>2.92</c:v>
                </c:pt>
                <c:pt idx="6">
                  <c:v>0.56000000000000005</c:v>
                </c:pt>
                <c:pt idx="7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67-1444-9E60-81CE2F776799}"/>
            </c:ext>
          </c:extLst>
        </c:ser>
        <c:ser>
          <c:idx val="5"/>
          <c:order val="5"/>
          <c:tx>
            <c:strRef>
              <c:f>'Biofermentation labo. 5 O2'!$G$5</c:f>
              <c:strCache>
                <c:ptCount val="1"/>
                <c:pt idx="0">
                  <c:v>Mi-chemin A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'Biofermentation labo. 5 O2'!$A$6:$A$13</c:f>
              <c:numCache>
                <c:formatCode>0.0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'Biofermentation labo. 5 O2'!$G$6:$G$13</c:f>
              <c:numCache>
                <c:formatCode>0.00</c:formatCode>
                <c:ptCount val="8"/>
                <c:pt idx="0">
                  <c:v>104.61981689557548</c:v>
                </c:pt>
                <c:pt idx="1">
                  <c:v>102.99154357040497</c:v>
                </c:pt>
                <c:pt idx="2">
                  <c:v>96.307265875531698</c:v>
                </c:pt>
                <c:pt idx="3">
                  <c:v>74.704517883544511</c:v>
                </c:pt>
                <c:pt idx="4">
                  <c:v>37.43395317425162</c:v>
                </c:pt>
                <c:pt idx="5">
                  <c:v>11.781020001246118</c:v>
                </c:pt>
                <c:pt idx="6">
                  <c:v>3.112972801378449</c:v>
                </c:pt>
                <c:pt idx="7">
                  <c:v>0.94404294011634238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002-F342-80B7-D0AA2F8B8A79}"/>
            </c:ext>
          </c:extLst>
        </c:ser>
        <c:ser>
          <c:idx val="6"/>
          <c:order val="6"/>
          <c:tx>
            <c:strRef>
              <c:f>'Biofermentation labo. 5 O2'!$H$5</c:f>
              <c:strCache>
                <c:ptCount val="1"/>
                <c:pt idx="0">
                  <c:v>Mi-chemin 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'Biofermentation labo. 5 O2'!$A$6:$A$13</c:f>
              <c:numCache>
                <c:formatCode>0.0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'Biofermentation labo. 5 O2'!$H$6:$H$13</c:f>
              <c:numCache>
                <c:formatCode>General</c:formatCode>
                <c:ptCount val="8"/>
                <c:pt idx="0">
                  <c:v>105.1</c:v>
                </c:pt>
                <c:pt idx="1">
                  <c:v>103.45</c:v>
                </c:pt>
                <c:pt idx="2">
                  <c:v>96.7</c:v>
                </c:pt>
                <c:pt idx="3">
                  <c:v>74.86</c:v>
                </c:pt>
                <c:pt idx="4">
                  <c:v>37.19</c:v>
                </c:pt>
                <c:pt idx="5">
                  <c:v>11.23</c:v>
                </c:pt>
                <c:pt idx="6">
                  <c:v>2.4900000000000002</c:v>
                </c:pt>
                <c:pt idx="7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67-1444-9E60-81CE2F776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491488"/>
        <c:axId val="742544144"/>
      </c:scatterChart>
      <c:valAx>
        <c:axId val="109249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CA" sz="1200" b="1"/>
                  <a:t>Temps</a:t>
                </a:r>
                <a:r>
                  <a:rPr lang="fr-CA" sz="1200" b="1" baseline="0"/>
                  <a:t>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742544144"/>
        <c:crosses val="autoZero"/>
        <c:crossBetween val="midCat"/>
      </c:valAx>
      <c:valAx>
        <c:axId val="74254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CA" sz="1200" b="1"/>
                  <a:t>Saturation en oxygène</a:t>
                </a:r>
                <a:r>
                  <a:rPr lang="fr-CA" sz="1200" b="1" baseline="0"/>
                  <a:t> (%)</a:t>
                </a:r>
                <a:endParaRPr lang="fr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CA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0924914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8367300212958384"/>
          <c:y val="0.11532956042961007"/>
          <c:w val="0.13335407206351171"/>
          <c:h val="0.2256410835828719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'8F3_exer_w3'!$B$6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'8F3_exer_w3'!$A$7:$A$14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'8F3_exer_w3'!$B$7:$B$14</c:f>
              <c:numCache>
                <c:formatCode>General</c:formatCode>
                <c:ptCount val="8"/>
                <c:pt idx="0">
                  <c:v>1.5</c:v>
                </c:pt>
                <c:pt idx="1">
                  <c:v>2</c:v>
                </c:pt>
                <c:pt idx="2">
                  <c:v>3.5</c:v>
                </c:pt>
                <c:pt idx="3">
                  <c:v>6.2</c:v>
                </c:pt>
                <c:pt idx="4">
                  <c:v>8.1999999999999993</c:v>
                </c:pt>
                <c:pt idx="5">
                  <c:v>9.4</c:v>
                </c:pt>
                <c:pt idx="6">
                  <c:v>9.8000000000000007</c:v>
                </c:pt>
                <c:pt idx="7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5B-BD40-8D56-BF8480EB7081}"/>
            </c:ext>
          </c:extLst>
        </c:ser>
        <c:ser>
          <c:idx val="1"/>
          <c:order val="1"/>
          <c:tx>
            <c:strRef>
              <c:f>'8F3_exer_w3'!$C$6</c:f>
              <c:strCache>
                <c:ptCount val="1"/>
                <c:pt idx="0">
                  <c:v>y^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'8F3_exer_w3'!$A$7:$A$14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'8F3_exer_w3'!$C$7:$C$14</c:f>
              <c:numCache>
                <c:formatCode>General</c:formatCode>
                <c:ptCount val="8"/>
                <c:pt idx="0">
                  <c:v>1.5123225937450893</c:v>
                </c:pt>
                <c:pt idx="1">
                  <c:v>1.6724969976216613</c:v>
                </c:pt>
                <c:pt idx="2">
                  <c:v>2.7560682823620697</c:v>
                </c:pt>
                <c:pt idx="3">
                  <c:v>6.5053452039466082</c:v>
                </c:pt>
                <c:pt idx="4">
                  <c:v>8.8838196032012675</c:v>
                </c:pt>
                <c:pt idx="5">
                  <c:v>9.7643757571501517</c:v>
                </c:pt>
                <c:pt idx="6">
                  <c:v>9.8835942888271155</c:v>
                </c:pt>
                <c:pt idx="7">
                  <c:v>9.8980403419246183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5B-BD40-8D56-BF8480EB7081}"/>
            </c:ext>
          </c:extLst>
        </c:ser>
        <c:ser>
          <c:idx val="2"/>
          <c:order val="2"/>
          <c:tx>
            <c:strRef>
              <c:f>'8F3_exer_w3'!$D$6</c:f>
              <c:strCache>
                <c:ptCount val="1"/>
                <c:pt idx="0">
                  <c:v>y^'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'8F3_exer_w3'!$A$7:$A$14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</c:numCache>
            </c:numRef>
          </c:xVal>
          <c:yVal>
            <c:numRef>
              <c:f>'8F3_exer_w3'!$D$7:$D$14</c:f>
              <c:numCache>
                <c:formatCode>General</c:formatCode>
                <c:ptCount val="8"/>
                <c:pt idx="0">
                  <c:v>1.4999999999999922</c:v>
                </c:pt>
                <c:pt idx="1">
                  <c:v>1.6604472071404059</c:v>
                </c:pt>
                <c:pt idx="2">
                  <c:v>2.7458639913859049</c:v>
                </c:pt>
                <c:pt idx="3">
                  <c:v>6.5015265461084493</c:v>
                </c:pt>
                <c:pt idx="4">
                  <c:v>8.8840518771186012</c:v>
                </c:pt>
                <c:pt idx="5">
                  <c:v>9.7661077625288115</c:v>
                </c:pt>
                <c:pt idx="6">
                  <c:v>9.8855293429062225</c:v>
                </c:pt>
                <c:pt idx="7">
                  <c:v>9.8999999999999897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5B-BD40-8D56-BF8480EB7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262079"/>
        <c:axId val="2104263791"/>
      </c:scatterChart>
      <c:valAx>
        <c:axId val="210426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A"/>
          </a:p>
        </c:txPr>
        <c:crossAx val="2104263791"/>
        <c:crosses val="autoZero"/>
        <c:crossBetween val="midCat"/>
      </c:valAx>
      <c:valAx>
        <c:axId val="210426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A"/>
          </a:p>
        </c:txPr>
        <c:crossAx val="2104262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'8F3_labo5_o2'!$B$6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'8F3_labo5_o2'!$A$7:$A$14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'8F3_labo5_o2'!$B$7:$B$14</c:f>
              <c:numCache>
                <c:formatCode>General</c:formatCode>
                <c:ptCount val="8"/>
                <c:pt idx="0">
                  <c:v>105.1</c:v>
                </c:pt>
                <c:pt idx="1">
                  <c:v>103.7</c:v>
                </c:pt>
                <c:pt idx="2">
                  <c:v>98.4</c:v>
                </c:pt>
                <c:pt idx="3">
                  <c:v>85.5</c:v>
                </c:pt>
                <c:pt idx="4">
                  <c:v>51.6</c:v>
                </c:pt>
                <c:pt idx="5">
                  <c:v>1</c:v>
                </c:pt>
                <c:pt idx="6">
                  <c:v>0.8</c:v>
                </c:pt>
                <c:pt idx="7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B0-5C45-BCAF-BB0488EB95CB}"/>
            </c:ext>
          </c:extLst>
        </c:ser>
        <c:ser>
          <c:idx val="1"/>
          <c:order val="1"/>
          <c:tx>
            <c:strRef>
              <c:f>'8F3_labo5_o2'!$C$6</c:f>
              <c:strCache>
                <c:ptCount val="1"/>
                <c:pt idx="0">
                  <c:v>y^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'8F3_labo5_o2'!$A$7:$A$14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'8F3_labo5_o2'!$C$7:$C$14</c:f>
              <c:numCache>
                <c:formatCode>General</c:formatCode>
                <c:ptCount val="8"/>
                <c:pt idx="0">
                  <c:v>103.73943847719816</c:v>
                </c:pt>
                <c:pt idx="1">
                  <c:v>101.01058733442666</c:v>
                </c:pt>
                <c:pt idx="2">
                  <c:v>93.426218607705962</c:v>
                </c:pt>
                <c:pt idx="3">
                  <c:v>75.859614230350189</c:v>
                </c:pt>
                <c:pt idx="4">
                  <c:v>48.052102529360404</c:v>
                </c:pt>
                <c:pt idx="5">
                  <c:v>22.654543434140322</c:v>
                </c:pt>
                <c:pt idx="6">
                  <c:v>8.7614609499045759</c:v>
                </c:pt>
                <c:pt idx="7">
                  <c:v>3.199141176011191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B0-5C45-BCAF-BB0488EB95CB}"/>
            </c:ext>
          </c:extLst>
        </c:ser>
        <c:ser>
          <c:idx val="2"/>
          <c:order val="2"/>
          <c:tx>
            <c:strRef>
              <c:f>'8F3_labo5_o2'!$D$6</c:f>
              <c:strCache>
                <c:ptCount val="1"/>
                <c:pt idx="0">
                  <c:v>y^'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'8F3_labo5_o2'!$A$7:$A$14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'8F3_labo5_o2'!$D$7:$D$14</c:f>
              <c:numCache>
                <c:formatCode>General</c:formatCode>
                <c:ptCount val="8"/>
                <c:pt idx="0">
                  <c:v>104.78728956603497</c:v>
                </c:pt>
                <c:pt idx="1">
                  <c:v>101.94282214909731</c:v>
                </c:pt>
                <c:pt idx="2">
                  <c:v>94.037118029492092</c:v>
                </c:pt>
                <c:pt idx="3">
                  <c:v>75.726249769058299</c:v>
                </c:pt>
                <c:pt idx="4">
                  <c:v>46.740586264069663</c:v>
                </c:pt>
                <c:pt idx="5">
                  <c:v>20.266980509696833</c:v>
                </c:pt>
                <c:pt idx="6">
                  <c:v>5.7852743338517207</c:v>
                </c:pt>
                <c:pt idx="7">
                  <c:v>-1.271043396478877E-2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B0-5C45-BCAF-BB0488EB9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262079"/>
        <c:axId val="2104263791"/>
      </c:scatterChart>
      <c:valAx>
        <c:axId val="210426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A"/>
          </a:p>
        </c:txPr>
        <c:crossAx val="2104263791"/>
        <c:crosses val="autoZero"/>
        <c:crossBetween val="midCat"/>
      </c:valAx>
      <c:valAx>
        <c:axId val="21042637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A"/>
          </a:p>
        </c:txPr>
        <c:crossAx val="2104262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719609-9BD5-474A-AB6E-7E8623842DD5}">
  <sheetPr/>
  <sheetViews>
    <sheetView tabSelected="1" zoomScale="17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20CA24-1F12-4744-9527-3DFE5FA29C7C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8431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4D176B8-CB98-CF54-E83F-BFC6A438A4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9769" cy="628393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A6503F8-355F-96AC-922B-47BF35B28B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53051</xdr:colOff>
      <xdr:row>0</xdr:row>
      <xdr:rowOff>27007</xdr:rowOff>
    </xdr:from>
    <xdr:to>
      <xdr:col>11</xdr:col>
      <xdr:colOff>803797</xdr:colOff>
      <xdr:row>17</xdr:row>
      <xdr:rowOff>192911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9F30CB-2EA5-FA4D-9488-DD6F46F62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53051</xdr:colOff>
      <xdr:row>0</xdr:row>
      <xdr:rowOff>27007</xdr:rowOff>
    </xdr:from>
    <xdr:to>
      <xdr:col>11</xdr:col>
      <xdr:colOff>803797</xdr:colOff>
      <xdr:row>17</xdr:row>
      <xdr:rowOff>192911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81489D-7AC2-A84E-8163-D93D3D0D5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rener/Projects/Repzilon.Libraries/LogisticModelTest.xlsx" TargetMode="External"/><Relationship Id="rId1" Type="http://schemas.openxmlformats.org/officeDocument/2006/relationships/externalLinkPath" Target="LogisticModel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F3_exer_w3"/>
      <sheetName val="8F3_labo5_o2"/>
    </sheetNames>
    <sheetDataSet>
      <sheetData sheetId="0">
        <row r="6">
          <cell r="B6" t="str">
            <v>y</v>
          </cell>
          <cell r="C6" t="str">
            <v>y^</v>
          </cell>
          <cell r="D6" t="str">
            <v>y^'</v>
          </cell>
        </row>
        <row r="7">
          <cell r="A7">
            <v>0</v>
          </cell>
          <cell r="B7">
            <v>1.5</v>
          </cell>
          <cell r="C7">
            <v>1.5123225937450893</v>
          </cell>
          <cell r="D7">
            <v>1.4999999999999922</v>
          </cell>
        </row>
        <row r="8">
          <cell r="A8">
            <v>5</v>
          </cell>
          <cell r="B8">
            <v>2</v>
          </cell>
          <cell r="C8">
            <v>1.6724969976216613</v>
          </cell>
          <cell r="D8">
            <v>1.6604472071404059</v>
          </cell>
        </row>
        <row r="9">
          <cell r="A9">
            <v>9</v>
          </cell>
          <cell r="B9">
            <v>3.5</v>
          </cell>
          <cell r="C9">
            <v>2.7560682823620697</v>
          </cell>
          <cell r="D9">
            <v>2.7458639913859049</v>
          </cell>
        </row>
        <row r="10">
          <cell r="A10">
            <v>13</v>
          </cell>
          <cell r="B10">
            <v>6.2</v>
          </cell>
          <cell r="C10">
            <v>6.5053452039466082</v>
          </cell>
          <cell r="D10">
            <v>6.5015265461084493</v>
          </cell>
        </row>
        <row r="11">
          <cell r="A11">
            <v>16</v>
          </cell>
          <cell r="B11">
            <v>8.1999999999999993</v>
          </cell>
          <cell r="C11">
            <v>8.8838196032012675</v>
          </cell>
          <cell r="D11">
            <v>8.8840518771186012</v>
          </cell>
        </row>
        <row r="12">
          <cell r="A12">
            <v>20</v>
          </cell>
          <cell r="B12">
            <v>9.4</v>
          </cell>
          <cell r="C12">
            <v>9.7643757571501517</v>
          </cell>
          <cell r="D12">
            <v>9.7661077625288115</v>
          </cell>
        </row>
        <row r="13">
          <cell r="A13">
            <v>24</v>
          </cell>
          <cell r="B13">
            <v>9.8000000000000007</v>
          </cell>
          <cell r="C13">
            <v>9.8835942888271155</v>
          </cell>
          <cell r="D13">
            <v>9.8855293429062225</v>
          </cell>
        </row>
        <row r="14">
          <cell r="A14">
            <v>28</v>
          </cell>
          <cell r="B14">
            <v>9.9</v>
          </cell>
          <cell r="C14">
            <v>9.8980403419246183</v>
          </cell>
          <cell r="D14">
            <v>9.8999999999999897</v>
          </cell>
        </row>
      </sheetData>
      <sheetData sheetId="1">
        <row r="6">
          <cell r="B6" t="str">
            <v>y</v>
          </cell>
          <cell r="C6" t="str">
            <v>y^</v>
          </cell>
          <cell r="D6" t="str">
            <v>y^'</v>
          </cell>
        </row>
        <row r="7">
          <cell r="A7">
            <v>0</v>
          </cell>
          <cell r="B7">
            <v>105.1</v>
          </cell>
          <cell r="C7">
            <v>103.73943847719816</v>
          </cell>
          <cell r="D7">
            <v>104.78728956603497</v>
          </cell>
        </row>
        <row r="8">
          <cell r="A8">
            <v>0.5</v>
          </cell>
          <cell r="B8">
            <v>103.7</v>
          </cell>
          <cell r="C8">
            <v>101.01058733442666</v>
          </cell>
          <cell r="D8">
            <v>101.94282214909731</v>
          </cell>
        </row>
        <row r="9">
          <cell r="A9">
            <v>1</v>
          </cell>
          <cell r="B9">
            <v>98.4</v>
          </cell>
          <cell r="C9">
            <v>93.426218607705962</v>
          </cell>
          <cell r="D9">
            <v>94.037118029492092</v>
          </cell>
        </row>
        <row r="10">
          <cell r="A10">
            <v>1.5</v>
          </cell>
          <cell r="B10">
            <v>85.5</v>
          </cell>
          <cell r="C10">
            <v>75.859614230350189</v>
          </cell>
          <cell r="D10">
            <v>75.726249769058299</v>
          </cell>
        </row>
        <row r="11">
          <cell r="A11">
            <v>2</v>
          </cell>
          <cell r="B11">
            <v>51.6</v>
          </cell>
          <cell r="C11">
            <v>48.052102529360404</v>
          </cell>
          <cell r="D11">
            <v>46.740586264069663</v>
          </cell>
        </row>
        <row r="12">
          <cell r="A12">
            <v>2.5</v>
          </cell>
          <cell r="B12">
            <v>1</v>
          </cell>
          <cell r="C12">
            <v>22.654543434140322</v>
          </cell>
          <cell r="D12">
            <v>20.266980509696833</v>
          </cell>
        </row>
        <row r="13">
          <cell r="A13">
            <v>3</v>
          </cell>
          <cell r="B13">
            <v>0.8</v>
          </cell>
          <cell r="C13">
            <v>8.7614609499045759</v>
          </cell>
          <cell r="D13">
            <v>5.7852743338517207</v>
          </cell>
        </row>
        <row r="14">
          <cell r="A14">
            <v>3.5</v>
          </cell>
          <cell r="B14">
            <v>0.3</v>
          </cell>
          <cell r="C14">
            <v>3.199141176011191</v>
          </cell>
          <cell r="D14">
            <v>-1.271043396478877E-2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3DA8-A952-DB4B-A693-8E3526DC5924}">
  <dimension ref="A1:H13"/>
  <sheetViews>
    <sheetView zoomScale="130" zoomScaleNormal="130" workbookViewId="0">
      <selection activeCell="F8" sqref="F8"/>
    </sheetView>
  </sheetViews>
  <sheetFormatPr baseColWidth="10" defaultRowHeight="16" x14ac:dyDescent="0.2"/>
  <cols>
    <col min="1" max="1" width="9" bestFit="1" customWidth="1"/>
    <col min="2" max="2" width="8" bestFit="1" customWidth="1"/>
    <col min="3" max="5" width="11.83203125" bestFit="1" customWidth="1"/>
    <col min="6" max="6" width="11.83203125" customWidth="1"/>
    <col min="7" max="8" width="11.5" bestFit="1" customWidth="1"/>
  </cols>
  <sheetData>
    <row r="1" spans="1:8" x14ac:dyDescent="0.2">
      <c r="B1" s="1" t="s">
        <v>12</v>
      </c>
      <c r="C1">
        <v>1.5</v>
      </c>
      <c r="E1">
        <v>1.5</v>
      </c>
    </row>
    <row r="2" spans="1:8" x14ac:dyDescent="0.2">
      <c r="B2" s="1" t="s">
        <v>2</v>
      </c>
      <c r="C2">
        <v>8.4</v>
      </c>
      <c r="E2">
        <v>8.4</v>
      </c>
    </row>
    <row r="3" spans="1:8" x14ac:dyDescent="0.2">
      <c r="B3" s="1" t="s">
        <v>13</v>
      </c>
    </row>
    <row r="4" spans="1:8" x14ac:dyDescent="0.2">
      <c r="B4" s="1" t="s">
        <v>4</v>
      </c>
    </row>
    <row r="5" spans="1:8" x14ac:dyDescent="0.2">
      <c r="A5" s="2" t="s">
        <v>0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19</v>
      </c>
      <c r="G5" s="2" t="s">
        <v>10</v>
      </c>
      <c r="H5" s="2" t="s">
        <v>11</v>
      </c>
    </row>
    <row r="6" spans="1:8" x14ac:dyDescent="0.2">
      <c r="A6" s="2">
        <v>0</v>
      </c>
      <c r="B6" s="2">
        <v>1.5</v>
      </c>
      <c r="C6" s="2">
        <v>1.51</v>
      </c>
      <c r="D6" s="2">
        <v>1.5</v>
      </c>
      <c r="E6" s="2">
        <v>1.58</v>
      </c>
      <c r="F6" s="2">
        <v>1.5</v>
      </c>
      <c r="G6" s="2">
        <v>1.54</v>
      </c>
      <c r="H6" s="2">
        <v>1.5</v>
      </c>
    </row>
    <row r="7" spans="1:8" x14ac:dyDescent="0.2">
      <c r="A7" s="2">
        <v>5</v>
      </c>
      <c r="B7" s="3">
        <v>2</v>
      </c>
      <c r="C7" s="2">
        <v>1.67</v>
      </c>
      <c r="D7" s="2">
        <v>1.66</v>
      </c>
      <c r="E7" s="2">
        <v>2.0099999999999998</v>
      </c>
      <c r="F7" s="2">
        <v>1.94</v>
      </c>
      <c r="G7" s="2">
        <v>1.83</v>
      </c>
      <c r="H7" s="2">
        <v>1.79</v>
      </c>
    </row>
    <row r="8" spans="1:8" x14ac:dyDescent="0.2">
      <c r="A8" s="2">
        <v>9</v>
      </c>
      <c r="B8" s="2">
        <v>3.5</v>
      </c>
      <c r="C8" s="2">
        <v>2.67</v>
      </c>
      <c r="D8" s="2">
        <v>2.75</v>
      </c>
      <c r="E8" s="2">
        <v>3.39</v>
      </c>
      <c r="F8" s="2">
        <v>3.33</v>
      </c>
      <c r="G8" s="2">
        <v>3.1</v>
      </c>
      <c r="H8" s="2">
        <v>3.07</v>
      </c>
    </row>
    <row r="9" spans="1:8" x14ac:dyDescent="0.2">
      <c r="A9" s="2">
        <v>13</v>
      </c>
      <c r="B9" s="2">
        <v>6.2</v>
      </c>
      <c r="C9" s="2">
        <v>6.51</v>
      </c>
      <c r="D9" s="2">
        <v>6.5</v>
      </c>
      <c r="E9" s="2">
        <v>6.23</v>
      </c>
      <c r="F9" s="2">
        <v>6.2</v>
      </c>
      <c r="G9" s="2">
        <v>6.34</v>
      </c>
      <c r="H9" s="2">
        <v>6.33</v>
      </c>
    </row>
    <row r="10" spans="1:8" x14ac:dyDescent="0.2">
      <c r="A10" s="2">
        <v>16</v>
      </c>
      <c r="B10" s="2">
        <v>8.1999999999999993</v>
      </c>
      <c r="C10" s="2">
        <v>8.8800000000000008</v>
      </c>
      <c r="D10" s="2">
        <v>8.8800000000000008</v>
      </c>
      <c r="E10" s="2">
        <v>8.1999999999999993</v>
      </c>
      <c r="F10" s="2">
        <v>8.1999999999999993</v>
      </c>
      <c r="G10" s="2">
        <v>8.52</v>
      </c>
      <c r="H10" s="2">
        <v>8.52</v>
      </c>
    </row>
    <row r="11" spans="1:8" x14ac:dyDescent="0.2">
      <c r="A11" s="2">
        <v>20</v>
      </c>
      <c r="B11" s="2">
        <v>9.4</v>
      </c>
      <c r="C11" s="2">
        <v>9.76</v>
      </c>
      <c r="D11" s="2">
        <v>9.77</v>
      </c>
      <c r="E11" s="2">
        <v>9.4499999999999993</v>
      </c>
      <c r="F11" s="2">
        <v>9.4600000000000009</v>
      </c>
      <c r="G11" s="2">
        <v>9.6199999999999992</v>
      </c>
      <c r="H11" s="2">
        <v>9.6300000000000008</v>
      </c>
    </row>
    <row r="12" spans="1:8" x14ac:dyDescent="0.2">
      <c r="A12" s="2">
        <v>24</v>
      </c>
      <c r="B12" s="2">
        <v>9.8000000000000007</v>
      </c>
      <c r="C12" s="2">
        <v>9.8800000000000008</v>
      </c>
      <c r="D12" s="2">
        <v>9.89</v>
      </c>
      <c r="E12" s="2">
        <v>9.7899999999999991</v>
      </c>
      <c r="F12" s="2">
        <v>9.82</v>
      </c>
      <c r="G12" s="2">
        <v>9.85</v>
      </c>
      <c r="H12" s="2">
        <v>9.86</v>
      </c>
    </row>
    <row r="13" spans="1:8" x14ac:dyDescent="0.2">
      <c r="A13" s="2">
        <v>28</v>
      </c>
      <c r="B13" s="2">
        <v>9.9</v>
      </c>
      <c r="C13" s="2">
        <v>9.9</v>
      </c>
      <c r="D13" s="2">
        <v>9.9</v>
      </c>
      <c r="E13" s="2">
        <v>9.8800000000000008</v>
      </c>
      <c r="F13" s="2">
        <v>9.9</v>
      </c>
      <c r="G13" s="2">
        <v>9.89</v>
      </c>
      <c r="H13" s="2">
        <v>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180D-0927-4B40-8D2B-EAD906206BCB}">
  <dimension ref="A1:I14"/>
  <sheetViews>
    <sheetView zoomScale="130" zoomScaleNormal="130" workbookViewId="0">
      <selection activeCell="H9" sqref="H9"/>
    </sheetView>
  </sheetViews>
  <sheetFormatPr baseColWidth="10" defaultRowHeight="16" x14ac:dyDescent="0.2"/>
  <cols>
    <col min="2" max="2" width="8" bestFit="1" customWidth="1"/>
    <col min="3" max="3" width="12.83203125" bestFit="1" customWidth="1"/>
    <col min="4" max="4" width="11.83203125" bestFit="1" customWidth="1"/>
    <col min="5" max="5" width="12.83203125" bestFit="1" customWidth="1"/>
    <col min="6" max="6" width="11.83203125" bestFit="1" customWidth="1"/>
    <col min="7" max="7" width="12.83203125" bestFit="1" customWidth="1"/>
    <col min="8" max="8" width="11.5" bestFit="1" customWidth="1"/>
  </cols>
  <sheetData>
    <row r="1" spans="1:9" x14ac:dyDescent="0.2">
      <c r="B1" s="1" t="s">
        <v>1</v>
      </c>
      <c r="C1">
        <v>0.3</v>
      </c>
      <c r="E1">
        <v>0.3</v>
      </c>
      <c r="G1">
        <v>0.3</v>
      </c>
    </row>
    <row r="2" spans="1:9" x14ac:dyDescent="0.2">
      <c r="B2" s="1" t="s">
        <v>2</v>
      </c>
      <c r="C2">
        <v>104.8</v>
      </c>
      <c r="E2">
        <v>104.8</v>
      </c>
      <c r="G2">
        <v>104.8</v>
      </c>
    </row>
    <row r="3" spans="1:9" x14ac:dyDescent="0.2">
      <c r="B3" s="1" t="s">
        <v>3</v>
      </c>
      <c r="C3">
        <v>1.9211045364891499</v>
      </c>
      <c r="E3">
        <v>1.67759630029981</v>
      </c>
      <c r="G3">
        <f>AVERAGE(C3,E3)</f>
        <v>1.79935041839448</v>
      </c>
    </row>
    <row r="4" spans="1:9" x14ac:dyDescent="0.2">
      <c r="B4" s="1" t="s">
        <v>4</v>
      </c>
      <c r="C4">
        <v>-0.443561566638489</v>
      </c>
      <c r="E4">
        <v>-0.22521152098397801</v>
      </c>
      <c r="G4">
        <f>AVERAGE(C4,E4)</f>
        <v>-0.33438654381123351</v>
      </c>
    </row>
    <row r="5" spans="1:9" x14ac:dyDescent="0.2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19</v>
      </c>
      <c r="G5" s="2" t="s">
        <v>10</v>
      </c>
      <c r="H5" s="2" t="s">
        <v>11</v>
      </c>
    </row>
    <row r="6" spans="1:9" x14ac:dyDescent="0.2">
      <c r="A6" s="3">
        <v>0</v>
      </c>
      <c r="B6" s="2">
        <v>105.1</v>
      </c>
      <c r="C6" s="2">
        <v>103.74</v>
      </c>
      <c r="D6" s="2">
        <v>105.1</v>
      </c>
      <c r="E6" s="2">
        <v>105.04</v>
      </c>
      <c r="F6" s="2">
        <v>105.1</v>
      </c>
      <c r="G6" s="4">
        <f>G$1+G$2*(1/(1+EXP(($A6-G$3)/(-1*G$4))))</f>
        <v>104.61981689557548</v>
      </c>
      <c r="H6" s="2">
        <v>105.1</v>
      </c>
      <c r="I6" s="5"/>
    </row>
    <row r="7" spans="1:9" x14ac:dyDescent="0.2">
      <c r="A7" s="3">
        <v>0.5</v>
      </c>
      <c r="B7" s="2">
        <v>103.7</v>
      </c>
      <c r="C7" s="2">
        <v>101.01</v>
      </c>
      <c r="D7" s="2">
        <v>102.26</v>
      </c>
      <c r="E7" s="2">
        <v>104.54</v>
      </c>
      <c r="F7" s="2">
        <v>104.6</v>
      </c>
      <c r="G7" s="4">
        <f>G$1+G$2*(1/(1+EXP(($A7-G$3)/(-1*G$4))))</f>
        <v>102.99154357040497</v>
      </c>
      <c r="H7" s="2">
        <v>103.45</v>
      </c>
      <c r="I7" s="5"/>
    </row>
    <row r="8" spans="1:9" x14ac:dyDescent="0.2">
      <c r="A8" s="3">
        <v>1</v>
      </c>
      <c r="B8" s="2">
        <v>98.4</v>
      </c>
      <c r="C8" s="2">
        <v>93.43</v>
      </c>
      <c r="D8" s="2">
        <v>94.35</v>
      </c>
      <c r="E8" s="2">
        <v>100.17</v>
      </c>
      <c r="F8" s="2">
        <v>100.23</v>
      </c>
      <c r="G8" s="4">
        <f>G$1+G$2*(1/(1+EXP(($A8-G$3)/(-1*G$4))))</f>
        <v>96.307265875531698</v>
      </c>
      <c r="H8" s="2">
        <v>96.7</v>
      </c>
      <c r="I8" s="5"/>
    </row>
    <row r="9" spans="1:9" x14ac:dyDescent="0.2">
      <c r="A9" s="3">
        <v>1.5</v>
      </c>
      <c r="B9" s="2">
        <v>85.5</v>
      </c>
      <c r="C9" s="2">
        <v>75.86</v>
      </c>
      <c r="D9" s="2">
        <v>76.040000000000006</v>
      </c>
      <c r="E9" s="2">
        <v>72.349999999999994</v>
      </c>
      <c r="F9" s="2">
        <v>72.38</v>
      </c>
      <c r="G9" s="4">
        <f>G$1+G$2*(1/(1+EXP(($A9-G$3)/(-1*G$4))))</f>
        <v>74.704517883544511</v>
      </c>
      <c r="H9" s="2">
        <v>74.86</v>
      </c>
      <c r="I9" s="5"/>
    </row>
    <row r="10" spans="1:9" x14ac:dyDescent="0.2">
      <c r="A10" s="3">
        <v>2</v>
      </c>
      <c r="B10" s="2">
        <v>51.6</v>
      </c>
      <c r="C10" s="2">
        <v>48.05</v>
      </c>
      <c r="D10" s="2">
        <v>47.05</v>
      </c>
      <c r="E10" s="2">
        <v>20.51</v>
      </c>
      <c r="F10" s="2">
        <v>20.5</v>
      </c>
      <c r="G10" s="4">
        <f>G$1+G$2*(1/(1+EXP(($A10-G$3)/(-1*G$4))))</f>
        <v>37.43395317425162</v>
      </c>
      <c r="H10" s="2">
        <v>37.19</v>
      </c>
      <c r="I10" s="5"/>
    </row>
    <row r="11" spans="1:9" x14ac:dyDescent="0.2">
      <c r="A11" s="3">
        <v>2.5</v>
      </c>
      <c r="B11" s="3">
        <v>1</v>
      </c>
      <c r="C11" s="2">
        <v>22.65</v>
      </c>
      <c r="D11" s="2">
        <v>20.58</v>
      </c>
      <c r="E11" s="2">
        <v>2.95</v>
      </c>
      <c r="F11" s="2">
        <v>2.92</v>
      </c>
      <c r="G11" s="4">
        <f>G$1+G$2*(1/(1+EXP(($A11-G$3)/(-1*G$4))))</f>
        <v>11.781020001246118</v>
      </c>
      <c r="H11" s="2">
        <v>11.23</v>
      </c>
      <c r="I11" s="5"/>
    </row>
    <row r="12" spans="1:9" x14ac:dyDescent="0.2">
      <c r="A12" s="3">
        <v>3</v>
      </c>
      <c r="B12" s="3">
        <v>0.8</v>
      </c>
      <c r="C12" s="2">
        <v>8.76</v>
      </c>
      <c r="D12" s="2">
        <v>6.1</v>
      </c>
      <c r="E12" s="2">
        <v>0.59</v>
      </c>
      <c r="F12" s="2">
        <v>0.56000000000000005</v>
      </c>
      <c r="G12" s="4">
        <f>G$1+G$2*(1/(1+EXP(($A12-G$3)/(-1*G$4))))</f>
        <v>3.112972801378449</v>
      </c>
      <c r="H12" s="2">
        <v>2.4900000000000002</v>
      </c>
      <c r="I12" s="5"/>
    </row>
    <row r="13" spans="1:9" x14ac:dyDescent="0.2">
      <c r="A13" s="3">
        <v>3.5</v>
      </c>
      <c r="B13" s="3">
        <v>0.3</v>
      </c>
      <c r="C13" s="2">
        <v>3.2</v>
      </c>
      <c r="D13" s="2">
        <v>0.3</v>
      </c>
      <c r="E13" s="2">
        <v>0.33</v>
      </c>
      <c r="F13" s="2">
        <v>0.3</v>
      </c>
      <c r="G13" s="4">
        <f>G$1+G$2*(1/(1+EXP(($A13-G$3)/(-1*G$4))))</f>
        <v>0.94404294011634238</v>
      </c>
      <c r="H13" s="2">
        <v>0.3</v>
      </c>
      <c r="I13" s="5"/>
    </row>
    <row r="14" spans="1:9" x14ac:dyDescent="0.2">
      <c r="I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7F6E-AE33-7341-BECB-3A8212912D2D}">
  <dimension ref="A1:D14"/>
  <sheetViews>
    <sheetView zoomScale="158" zoomScaleNormal="158" workbookViewId="0">
      <selection activeCell="A5" sqref="A5:B5"/>
    </sheetView>
  </sheetViews>
  <sheetFormatPr baseColWidth="10" defaultRowHeight="16" x14ac:dyDescent="0.2"/>
  <cols>
    <col min="1" max="1" width="3.1640625" bestFit="1" customWidth="1"/>
    <col min="2" max="2" width="4.1640625" bestFit="1" customWidth="1"/>
    <col min="3" max="4" width="12.6640625" bestFit="1" customWidth="1"/>
  </cols>
  <sheetData>
    <row r="1" spans="1:4" x14ac:dyDescent="0.2">
      <c r="B1" s="6" t="s">
        <v>12</v>
      </c>
      <c r="C1">
        <v>1.5</v>
      </c>
      <c r="D1">
        <v>1.48765641885797</v>
      </c>
    </row>
    <row r="2" spans="1:4" x14ac:dyDescent="0.2">
      <c r="B2" s="6" t="s">
        <v>2</v>
      </c>
      <c r="C2">
        <v>8.4</v>
      </c>
      <c r="D2">
        <v>8.4143065768363101</v>
      </c>
    </row>
    <row r="3" spans="1:4" x14ac:dyDescent="0.2">
      <c r="B3" s="6" t="s">
        <v>13</v>
      </c>
      <c r="C3" s="7">
        <v>12.269617706237399</v>
      </c>
      <c r="D3" s="7"/>
    </row>
    <row r="4" spans="1:4" x14ac:dyDescent="0.2">
      <c r="B4" s="6" t="s">
        <v>4</v>
      </c>
      <c r="C4" s="7">
        <v>1.8809533698123699</v>
      </c>
      <c r="D4" s="7"/>
    </row>
    <row r="5" spans="1:4" ht="18" x14ac:dyDescent="0.25">
      <c r="A5" s="8" t="s">
        <v>18</v>
      </c>
      <c r="B5" s="8"/>
      <c r="C5" s="2">
        <v>2.7</v>
      </c>
      <c r="D5" s="2">
        <f>C5/C4</f>
        <v>1.4354422833296141</v>
      </c>
    </row>
    <row r="6" spans="1:4" x14ac:dyDescent="0.2">
      <c r="A6" s="9" t="s">
        <v>14</v>
      </c>
      <c r="B6" s="9" t="s">
        <v>15</v>
      </c>
      <c r="C6" s="9" t="s">
        <v>16</v>
      </c>
      <c r="D6" s="9" t="s">
        <v>17</v>
      </c>
    </row>
    <row r="7" spans="1:4" x14ac:dyDescent="0.2">
      <c r="A7">
        <v>0</v>
      </c>
      <c r="B7">
        <v>1.5</v>
      </c>
      <c r="C7">
        <f>C$1+C$2*(1/(1+EXP(($A7-$C$3)/(-$C$4))))</f>
        <v>1.5123225937450893</v>
      </c>
      <c r="D7">
        <f>D$1+D$2*(1/(1+EXP(($A7-$C$3)/(-$C$4))))</f>
        <v>1.4999999999999922</v>
      </c>
    </row>
    <row r="8" spans="1:4" x14ac:dyDescent="0.2">
      <c r="A8">
        <v>5</v>
      </c>
      <c r="B8">
        <v>2</v>
      </c>
      <c r="C8">
        <f t="shared" ref="C8:D14" si="0">C$1+C$2*(1/(1+EXP(($A8-$C$3)/(-$C$4))))</f>
        <v>1.6724969976216613</v>
      </c>
      <c r="D8">
        <f t="shared" si="0"/>
        <v>1.6604472071404059</v>
      </c>
    </row>
    <row r="9" spans="1:4" x14ac:dyDescent="0.2">
      <c r="A9">
        <v>9</v>
      </c>
      <c r="B9">
        <v>3.5</v>
      </c>
      <c r="C9">
        <f t="shared" si="0"/>
        <v>2.7560682823620697</v>
      </c>
      <c r="D9">
        <f t="shared" si="0"/>
        <v>2.7458639913859049</v>
      </c>
    </row>
    <row r="10" spans="1:4" x14ac:dyDescent="0.2">
      <c r="A10">
        <v>13</v>
      </c>
      <c r="B10">
        <v>6.2</v>
      </c>
      <c r="C10">
        <f t="shared" si="0"/>
        <v>6.5053452039466082</v>
      </c>
      <c r="D10">
        <f t="shared" si="0"/>
        <v>6.5015265461084493</v>
      </c>
    </row>
    <row r="11" spans="1:4" x14ac:dyDescent="0.2">
      <c r="A11">
        <v>16</v>
      </c>
      <c r="B11">
        <v>8.1999999999999993</v>
      </c>
      <c r="C11">
        <f t="shared" si="0"/>
        <v>8.8838196032012675</v>
      </c>
      <c r="D11">
        <f t="shared" si="0"/>
        <v>8.8840518771186012</v>
      </c>
    </row>
    <row r="12" spans="1:4" x14ac:dyDescent="0.2">
      <c r="A12">
        <v>20</v>
      </c>
      <c r="B12">
        <v>9.4</v>
      </c>
      <c r="C12">
        <f t="shared" si="0"/>
        <v>9.7643757571501517</v>
      </c>
      <c r="D12">
        <f t="shared" si="0"/>
        <v>9.7661077625288115</v>
      </c>
    </row>
    <row r="13" spans="1:4" x14ac:dyDescent="0.2">
      <c r="A13">
        <v>24</v>
      </c>
      <c r="B13">
        <v>9.8000000000000007</v>
      </c>
      <c r="C13">
        <f t="shared" si="0"/>
        <v>9.8835942888271155</v>
      </c>
      <c r="D13">
        <f t="shared" si="0"/>
        <v>9.8855293429062225</v>
      </c>
    </row>
    <row r="14" spans="1:4" x14ac:dyDescent="0.2">
      <c r="A14">
        <v>28</v>
      </c>
      <c r="B14">
        <v>9.9</v>
      </c>
      <c r="C14">
        <f t="shared" si="0"/>
        <v>9.8980403419246183</v>
      </c>
      <c r="D14">
        <f t="shared" si="0"/>
        <v>9.8999999999999897</v>
      </c>
    </row>
  </sheetData>
  <mergeCells count="3">
    <mergeCell ref="C3:D3"/>
    <mergeCell ref="C4:D4"/>
    <mergeCell ref="A5:B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5DF1-FBED-9646-9740-91ECF307FF66}">
  <dimension ref="A1:D14"/>
  <sheetViews>
    <sheetView zoomScale="158" zoomScaleNormal="158" workbookViewId="0">
      <selection activeCell="E25" sqref="E25:E26"/>
    </sheetView>
  </sheetViews>
  <sheetFormatPr baseColWidth="10" defaultRowHeight="16" x14ac:dyDescent="0.2"/>
  <cols>
    <col min="1" max="1" width="4.1640625" bestFit="1" customWidth="1"/>
    <col min="2" max="2" width="6.33203125" bestFit="1" customWidth="1"/>
    <col min="3" max="3" width="12.6640625" bestFit="1" customWidth="1"/>
    <col min="4" max="4" width="13.1640625" bestFit="1" customWidth="1"/>
  </cols>
  <sheetData>
    <row r="1" spans="1:4" x14ac:dyDescent="0.2">
      <c r="B1" s="6" t="s">
        <v>12</v>
      </c>
      <c r="C1">
        <v>0.3</v>
      </c>
      <c r="D1">
        <v>-3.0346827515499801</v>
      </c>
    </row>
    <row r="2" spans="1:4" x14ac:dyDescent="0.2">
      <c r="B2" s="6" t="s">
        <v>2</v>
      </c>
      <c r="C2">
        <v>104.8</v>
      </c>
      <c r="D2">
        <v>109.240178265022</v>
      </c>
    </row>
    <row r="3" spans="1:4" x14ac:dyDescent="0.2">
      <c r="B3" s="6" t="s">
        <v>13</v>
      </c>
      <c r="C3" s="7">
        <v>1.9211045364891499</v>
      </c>
      <c r="D3" s="7"/>
    </row>
    <row r="4" spans="1:4" x14ac:dyDescent="0.2">
      <c r="B4" s="6" t="s">
        <v>4</v>
      </c>
      <c r="C4" s="7">
        <v>-0.443561566638489</v>
      </c>
      <c r="D4" s="7"/>
    </row>
    <row r="5" spans="1:4" ht="18" x14ac:dyDescent="0.25">
      <c r="A5" s="8" t="s">
        <v>18</v>
      </c>
      <c r="B5" s="8"/>
      <c r="C5" s="2">
        <v>-0.33</v>
      </c>
      <c r="D5" s="2">
        <f>C5/C4</f>
        <v>0.74397789353322441</v>
      </c>
    </row>
    <row r="6" spans="1:4" x14ac:dyDescent="0.2">
      <c r="A6" s="9" t="s">
        <v>14</v>
      </c>
      <c r="B6" s="9" t="s">
        <v>15</v>
      </c>
      <c r="C6" s="9" t="s">
        <v>16</v>
      </c>
      <c r="D6" s="9" t="s">
        <v>17</v>
      </c>
    </row>
    <row r="7" spans="1:4" x14ac:dyDescent="0.2">
      <c r="A7">
        <v>0</v>
      </c>
      <c r="B7">
        <v>105.1</v>
      </c>
      <c r="C7">
        <f>C$1+C$2*(1/(1+EXP(($A7-$C$3)/(-$C$4))))</f>
        <v>103.73943847719816</v>
      </c>
      <c r="D7">
        <f>D$1+D$2*(1/(1+EXP(($A7-$C$3)/(-$C$4))))</f>
        <v>104.78728956603497</v>
      </c>
    </row>
    <row r="8" spans="1:4" x14ac:dyDescent="0.2">
      <c r="A8">
        <v>0.5</v>
      </c>
      <c r="B8">
        <v>103.7</v>
      </c>
      <c r="C8">
        <f t="shared" ref="C8:D14" si="0">C$1+C$2*(1/(1+EXP(($A8-$C$3)/(-$C$4))))</f>
        <v>101.01058733442666</v>
      </c>
      <c r="D8">
        <f t="shared" si="0"/>
        <v>101.94282214909731</v>
      </c>
    </row>
    <row r="9" spans="1:4" x14ac:dyDescent="0.2">
      <c r="A9">
        <v>1</v>
      </c>
      <c r="B9">
        <v>98.4</v>
      </c>
      <c r="C9">
        <f t="shared" si="0"/>
        <v>93.426218607705962</v>
      </c>
      <c r="D9">
        <f t="shared" si="0"/>
        <v>94.037118029492092</v>
      </c>
    </row>
    <row r="10" spans="1:4" x14ac:dyDescent="0.2">
      <c r="A10">
        <v>1.5</v>
      </c>
      <c r="B10">
        <v>85.5</v>
      </c>
      <c r="C10">
        <f t="shared" si="0"/>
        <v>75.859614230350189</v>
      </c>
      <c r="D10">
        <f t="shared" si="0"/>
        <v>75.726249769058299</v>
      </c>
    </row>
    <row r="11" spans="1:4" x14ac:dyDescent="0.2">
      <c r="A11">
        <v>2</v>
      </c>
      <c r="B11">
        <v>51.6</v>
      </c>
      <c r="C11">
        <f t="shared" si="0"/>
        <v>48.052102529360404</v>
      </c>
      <c r="D11">
        <f t="shared" si="0"/>
        <v>46.740586264069663</v>
      </c>
    </row>
    <row r="12" spans="1:4" x14ac:dyDescent="0.2">
      <c r="A12">
        <v>2.5</v>
      </c>
      <c r="B12">
        <v>1</v>
      </c>
      <c r="C12">
        <f t="shared" si="0"/>
        <v>22.654543434140322</v>
      </c>
      <c r="D12">
        <f t="shared" si="0"/>
        <v>20.266980509696833</v>
      </c>
    </row>
    <row r="13" spans="1:4" x14ac:dyDescent="0.2">
      <c r="A13">
        <v>3</v>
      </c>
      <c r="B13">
        <v>0.8</v>
      </c>
      <c r="C13">
        <f t="shared" si="0"/>
        <v>8.7614609499045759</v>
      </c>
      <c r="D13">
        <f t="shared" si="0"/>
        <v>5.7852743338517207</v>
      </c>
    </row>
    <row r="14" spans="1:4" x14ac:dyDescent="0.2">
      <c r="A14">
        <v>3.5</v>
      </c>
      <c r="B14">
        <v>0.3</v>
      </c>
      <c r="C14">
        <f t="shared" si="0"/>
        <v>3.199141176011191</v>
      </c>
      <c r="D14">
        <f>D$1+D$2*(1/(1+EXP(($A14-$C$3)/(-$C$4))))</f>
        <v>-1.271043396478877E-2</v>
      </c>
    </row>
  </sheetData>
  <mergeCells count="3">
    <mergeCell ref="C3:D3"/>
    <mergeCell ref="C4:D4"/>
    <mergeCell ref="A5: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Graphiques</vt:lpstr>
      </vt:variant>
      <vt:variant>
        <vt:i4>2</vt:i4>
      </vt:variant>
    </vt:vector>
  </HeadingPairs>
  <TitlesOfParts>
    <vt:vector size="6" baseType="lpstr">
      <vt:lpstr>Biofermentation semaine 3 ex</vt:lpstr>
      <vt:lpstr>Biofermentation labo. 5 O2</vt:lpstr>
      <vt:lpstr>8F3_exer_w3</vt:lpstr>
      <vt:lpstr>8F3_labo5_o2</vt:lpstr>
      <vt:lpstr>Bioferm. s. 3 exercice</vt:lpstr>
      <vt:lpstr>Bioferm. laboratoire 5 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Sylvain-Rhéaume</dc:creator>
  <cp:lastModifiedBy>René Sylvain-Rhéaume</cp:lastModifiedBy>
  <dcterms:created xsi:type="dcterms:W3CDTF">2025-08-16T17:23:57Z</dcterms:created>
  <dcterms:modified xsi:type="dcterms:W3CDTF">2025-08-17T01:52:25Z</dcterms:modified>
</cp:coreProperties>
</file>